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drawings/charts/chart5.xml" ContentType="application/vnd.openxmlformats-officedocument.drawingml.chart+xml"/>
  <Override PartName="/xl/tables/table11.xml" ContentType="application/vnd.openxmlformats-officedocument.spreadsheetml.table+xml"/>
  <Override PartName="/xl/worksheets/sheet8.xml" ContentType="application/vnd.openxmlformats-officedocument.spreadsheetml.worksheet+xml"/>
  <Override PartName="/xl/drawings/drawing3.xml" ContentType="application/vnd.openxmlformats-officedocument.drawing+xml"/>
  <Override PartName="/xl/drawings/charts/chart6.xml" ContentType="application/vnd.openxmlformats-officedocument.drawingml.chart+xml"/>
  <Override PartName="/xl/tables/table12.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drawings/charts/chart7.xml" ContentType="application/vnd.openxmlformats-officedocument.drawingml.chart+xml"/>
  <Override PartName="/xl/tables/table13.xml" ContentType="application/vnd.openxmlformats-officedocument.spreadsheetml.table+xml"/>
  <Override PartName="/xl/worksheets/sheet10.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2.xml" ContentType="application/vnd.openxmlformats-officedocument.spreadsheetml.worksheet+xml"/>
  <Override PartName="/xl/drawings/drawing5.xml" ContentType="application/vnd.openxmlformats-officedocument.drawing+xml"/>
  <Override PartName="/xl/drawings/charts/chart8.xml" ContentType="application/vnd.openxmlformats-officedocument.drawingml.chart+xml"/>
  <Override PartName="/xl/tables/table18.xml" ContentType="application/vnd.openxmlformats-officedocument.spreadsheetml.table+xml"/>
  <Override PartName="/xl/worksheets/sheet13.xml" ContentType="application/vnd.openxmlformats-officedocument.spreadsheetml.worksheet+xml"/>
  <Override PartName="/xl/tables/table19.xml" ContentType="application/vnd.openxmlformats-officedocument.spreadsheetml.table+xml"/>
  <Override PartName="/xl/worksheets/sheet14.xml" ContentType="application/vnd.openxmlformats-officedocument.spreadsheetml.worksheet+xml"/>
  <Override PartName="/xl/tables/table20.xml" ContentType="application/vnd.openxmlformats-officedocument.spreadsheetml.table+xml"/>
  <Override PartName="/xl/worksheets/sheet15.xml" ContentType="application/vnd.openxmlformats-officedocument.spreadsheetml.worksheet+xml"/>
  <Override PartName="/xl/tables/table21.xml" ContentType="application/vnd.openxmlformats-officedocument.spreadsheetml.table+xml"/>
  <Override PartName="/xl/worksheets/sheet16.xml" ContentType="application/vnd.openxmlformats-officedocument.spreadsheetml.worksheet+xml"/>
  <Override PartName="/xl/drawings/drawing6.xml" ContentType="application/vnd.openxmlformats-officedocument.drawing+xml"/>
  <Override PartName="/xl/drawings/charts/chart9.xml" ContentType="application/vnd.openxmlformats-officedocument.drawingml.chart+xml"/>
  <Override PartName="/xl/tables/table22.xml" ContentType="application/vnd.openxmlformats-officedocument.spreadsheetml.table+xml"/>
  <Override PartName="/xl/worksheets/sheet17.xml" ContentType="application/vnd.openxmlformats-officedocument.spreadsheetml.worksheet+xml"/>
  <Override PartName="/xl/tables/table23.xml" ContentType="application/vnd.openxmlformats-officedocument.spreadsheetml.table+xml"/>
  <Override PartName="/xl/worksheets/sheet18.xml" ContentType="application/vnd.openxmlformats-officedocument.spreadsheetml.worksheet+xml"/>
  <Override PartName="/xl/drawings/drawing7.xml" ContentType="application/vnd.openxmlformats-officedocument.drawing+xml"/>
  <Override PartName="/xl/drawings/charts/chart10.xml" ContentType="application/vnd.openxmlformats-officedocument.drawingml.chart+xml"/>
  <Override PartName="/xl/tables/table24.xml" ContentType="application/vnd.openxmlformats-officedocument.spreadsheetml.table+xml"/>
  <Override PartName="/xl/worksheets/sheet19.xml" ContentType="application/vnd.openxmlformats-officedocument.spreadsheetml.worksheet+xml"/>
  <Override PartName="/xl/tables/table25.xml" ContentType="application/vnd.openxmlformats-officedocument.spreadsheetml.table+xml"/>
  <Override PartName="/xl/worksheets/sheet20.xml" ContentType="application/vnd.openxmlformats-officedocument.spreadsheetml.worksheet+xml"/>
  <Override PartName="/xl/drawings/drawing8.xml" ContentType="application/vnd.openxmlformats-officedocument.drawing+xml"/>
  <Override PartName="/xl/drawings/charts/chart11.xml" ContentType="application/vnd.openxmlformats-officedocument.drawingml.chart+xml"/>
  <Override PartName="/xl/tables/table26.xml" ContentType="application/vnd.openxmlformats-officedocument.spreadsheetml.table+xml"/>
  <Override PartName="/xl/worksheets/sheet21.xml" ContentType="application/vnd.openxmlformats-officedocument.spreadsheetml.worksheet+xml"/>
  <Override PartName="/xl/drawings/drawing9.xml" ContentType="application/vnd.openxmlformats-officedocument.drawing+xml"/>
  <Override PartName="/xl/drawings/charts/chart12.xml" ContentType="application/vnd.openxmlformats-officedocument.drawingml.chart+xml"/>
  <Override PartName="/xl/tables/table27.xml" ContentType="application/vnd.openxmlformats-officedocument.spreadsheetml.table+xml"/>
  <Override PartName="/xl/worksheets/sheet22.xml" ContentType="application/vnd.openxmlformats-officedocument.spreadsheetml.worksheet+xml"/>
  <Override PartName="/xl/tables/table28.xml" ContentType="application/vnd.openxmlformats-officedocument.spreadsheetml.table+xml"/>
  <Override PartName="/xl/worksheets/sheet23.xml" ContentType="application/vnd.openxmlformats-officedocument.spreadsheetml.worksheet+xml"/>
  <Override PartName="/xl/tables/table29.xml" ContentType="application/vnd.openxmlformats-officedocument.spreadsheetml.table+xml"/>
  <Override PartName="/xl/worksheets/sheet24.xml" ContentType="application/vnd.openxmlformats-officedocument.spreadsheetml.worksheet+xml"/>
  <Override PartName="/xl/tables/table30.xml" ContentType="application/vnd.openxmlformats-officedocument.spreadsheetml.table+xml"/>
  <Override PartName="/xl/worksheets/sheet25.xml" ContentType="application/vnd.openxmlformats-officedocument.spreadsheetml.worksheet+xml"/>
  <Override PartName="/xl/tables/table31.xml" ContentType="application/vnd.openxmlformats-officedocument.spreadsheetml.table+xml"/>
  <Override PartName="/xl/worksheets/sheet26.xml" ContentType="application/vnd.openxmlformats-officedocument.spreadsheetml.worksheet+xml"/>
  <Override PartName="/xl/tables/table32.xml" ContentType="application/vnd.openxmlformats-officedocument.spreadsheetml.table+xml"/>
  <Override PartName="/xl/worksheets/sheet27.xml" ContentType="application/vnd.openxmlformats-officedocument.spreadsheetml.worksheet+xml"/>
  <Override PartName="/xl/tables/table33.xml" ContentType="application/vnd.openxmlformats-officedocument.spreadsheetml.table+xml"/>
  <Override PartName="/xl/worksheets/sheet28.xml" ContentType="application/vnd.openxmlformats-officedocument.spreadsheetml.worksheet+xml"/>
  <Override PartName="/xl/tables/table34.xml" ContentType="application/vnd.openxmlformats-officedocument.spreadsheetml.table+xml"/>
  <Override PartName="/xl/worksheets/sheet29.xml" ContentType="application/vnd.openxmlformats-officedocument.spreadsheetml.worksheet+xml"/>
  <Override PartName="/xl/drawings/drawing10.xml" ContentType="application/vnd.openxmlformats-officedocument.drawing+xml"/>
  <Override PartName="/xl/drawings/charts/chart13.xml" ContentType="application/vnd.openxmlformats-officedocument.drawingml.chart+xml"/>
  <Override PartName="/xl/tables/table35.xml" ContentType="application/vnd.openxmlformats-officedocument.spreadsheetml.table+xml"/>
  <Override PartName="/xl/worksheets/sheet30.xml" ContentType="application/vnd.openxmlformats-officedocument.spreadsheetml.worksheet+xml"/>
  <Override PartName="/xl/tables/table36.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tables/table37.xml" ContentType="application/vnd.openxmlformats-officedocument.spreadsheetml.table+xml"/>
  <Override PartName="/xl/worksheets/sheet33.xml" ContentType="application/vnd.openxmlformats-officedocument.spreadsheetml.worksheet+xml"/>
  <Override PartName="/xl/tables/table38.xml" ContentType="application/vnd.openxmlformats-officedocument.spreadsheetml.table+xml"/>
  <Override PartName="/xl/worksheets/sheet34.xml" ContentType="application/vnd.openxmlformats-officedocument.spreadsheetml.worksheet+xml"/>
  <Override PartName="/xl/tables/table3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2acf3e5f76436a" /></Relationships>
</file>

<file path=xl/workbook.xml><?xml version="1.0" encoding="utf-8"?>
<x:workbook xmlns:x="http://schemas.openxmlformats.org/spreadsheetml/2006/main">
  <x:sheets>
    <x:sheet xmlns:r="http://schemas.openxmlformats.org/officeDocument/2006/relationships" name="01_Portada" sheetId="1" r:id="R30387ed91b61473a"/>
    <x:sheet xmlns:r="http://schemas.openxmlformats.org/officeDocument/2006/relationships" name="02_Control_versiones" sheetId="2" r:id="R608f491d40cc44cd"/>
    <x:sheet xmlns:r="http://schemas.openxmlformats.org/officeDocument/2006/relationships" name="03_Dashboard_Ejecutivo" sheetId="3" r:id="Rbb1d0999c6b646a9"/>
    <x:sheet xmlns:r="http://schemas.openxmlformats.org/officeDocument/2006/relationships" name="04_Fuentes_trazabilidad" sheetId="4" r:id="R2f308527f5354871"/>
    <x:sheet xmlns:r="http://schemas.openxmlformats.org/officeDocument/2006/relationships" name="05_Control_totales" sheetId="5" r:id="R531dc40270534276"/>
    <x:sheet xmlns:r="http://schemas.openxmlformats.org/officeDocument/2006/relationships" name="06_Calidad_datos" sheetId="6" r:id="R08f452462e3c4ed8"/>
    <x:sheet xmlns:r="http://schemas.openxmlformats.org/officeDocument/2006/relationships" name="07_Pacientes" sheetId="7" r:id="Rb586434428bc4beb"/>
    <x:sheet xmlns:r="http://schemas.openxmlformats.org/officeDocument/2006/relationships" name="08_Produccion_servicios" sheetId="8" r:id="R08b3da0258bf42e1"/>
    <x:sheet xmlns:r="http://schemas.openxmlformats.org/officeDocument/2006/relationships" name="09_Tendencia_mensual" sheetId="9" r:id="R75c0d599d0154766"/>
    <x:sheet xmlns:r="http://schemas.openxmlformats.org/officeDocument/2006/relationships" name="10_Sexo_edad" sheetId="10" r:id="R27d9ab0a64104aac"/>
    <x:sheet xmlns:r="http://schemas.openxmlformats.org/officeDocument/2006/relationships" name="11_Diagnosticos_episodios" sheetId="11" r:id="R789c96ce5cf94b6d"/>
    <x:sheet xmlns:r="http://schemas.openxmlformats.org/officeDocument/2006/relationships" name="12_Costos_CAIMI" sheetId="12" r:id="R3fa417e16f2243db"/>
    <x:sheet xmlns:r="http://schemas.openxmlformats.org/officeDocument/2006/relationships" name="13_Costos_por_centro" sheetId="13" r:id="R80bc3a81c5c44a00"/>
    <x:sheet xmlns:r="http://schemas.openxmlformats.org/officeDocument/2006/relationships" name="14_Estados_financieros" sheetId="14" r:id="Ra611619cf4614bbb"/>
    <x:sheet xmlns:r="http://schemas.openxmlformats.org/officeDocument/2006/relationships" name="15_Indicadores_financieros" sheetId="15" r:id="Rbb06b9e2964c48c8"/>
    <x:sheet xmlns:r="http://schemas.openxmlformats.org/officeDocument/2006/relationships" name="16_Glosas_EPS" sheetId="16" r:id="R4297fa11e9e841f3"/>
    <x:sheet xmlns:r="http://schemas.openxmlformats.org/officeDocument/2006/relationships" name="17_Glosas_conceptos" sheetId="17" r:id="Rdd73c38903f14113"/>
    <x:sheet xmlns:r="http://schemas.openxmlformats.org/officeDocument/2006/relationships" name="18_Equipos_biomedicos" sheetId="18" r:id="R175cae4e579944a2"/>
    <x:sheet xmlns:r="http://schemas.openxmlformats.org/officeDocument/2006/relationships" name="19_Talento_ausentismo" sheetId="19" r:id="Rccfa94498a1a42e8"/>
    <x:sheet xmlns:r="http://schemas.openxmlformats.org/officeDocument/2006/relationships" name="20_Matriz_escenarios" sheetId="20" r:id="Ra1e953bcafcc4c7a"/>
    <x:sheet xmlns:r="http://schemas.openxmlformats.org/officeDocument/2006/relationships" name="21_Modelo_financiero" sheetId="21" r:id="R631aab2f57e04528"/>
    <x:sheet xmlns:r="http://schemas.openxmlformats.org/officeDocument/2006/relationships" name="22_Sensibilidad" sheetId="22" r:id="R653b4a7bae984b67"/>
    <x:sheet xmlns:r="http://schemas.openxmlformats.org/officeDocument/2006/relationships" name="23_Indicadores" sheetId="23" r:id="Rcf0f471a9b90459d"/>
    <x:sheet xmlns:r="http://schemas.openxmlformats.org/officeDocument/2006/relationships" name="24_Riesgos" sheetId="24" r:id="R8b68fe482bf34e89"/>
    <x:sheet xmlns:r="http://schemas.openxmlformats.org/officeDocument/2006/relationships" name="25_Hoja_ruta" sheetId="25" r:id="R8f612ec27bf04b41"/>
    <x:sheet xmlns:r="http://schemas.openxmlformats.org/officeDocument/2006/relationships" name="26_Cumplimiento_contrato" sheetId="26" r:id="R3b774d16e67f44cb"/>
    <x:sheet xmlns:r="http://schemas.openxmlformats.org/officeDocument/2006/relationships" name="27_Marco_normativo" sheetId="27" r:id="Rb71c03b80d08406d"/>
    <x:sheet xmlns:r="http://schemas.openxmlformats.org/officeDocument/2006/relationships" name="28_Referencias" sheetId="28" r:id="R582e149f809a47c7"/>
    <x:sheet xmlns:r="http://schemas.openxmlformats.org/officeDocument/2006/relationships" name="29_Matriz_mensual" sheetId="29" r:id="R34fcc2533467438c"/>
    <x:sheet xmlns:r="http://schemas.openxmlformats.org/officeDocument/2006/relationships" name="30_Consistencia_entregables" sheetId="30" r:id="R39d59f595eb140ca"/>
    <x:sheet xmlns:r="http://schemas.openxmlformats.org/officeDocument/2006/relationships" name="31_Conciliacion_Costos" sheetId="31" r:id="R544f02f60411417f"/>
    <x:sheet xmlns:r="http://schemas.openxmlformats.org/officeDocument/2006/relationships" name="32_Inventario_biomedico" sheetId="32" r:id="R58d210a1db2c4598"/>
    <x:sheet xmlns:r="http://schemas.openxmlformats.org/officeDocument/2006/relationships" name="33_Conciliacion_biomedica" sheetId="33" r:id="R35c8803dd1ff4d24"/>
    <x:sheet xmlns:r="http://schemas.openxmlformats.org/officeDocument/2006/relationships" name="34_Certificacion_nota" sheetId="34" r:id="R4716d75ca6f142ff"/>
  </x:sheets>
</x:workbook>
</file>

<file path=xl/sharedStrings.xml><?xml version="1.0" encoding="utf-8"?>
<x:sst xmlns:x="http://schemas.openxmlformats.org/spreadsheetml/2006/main">
  <x:si>
    <x:t xml:space="preserve">Anexos modelo integral CAIMI </x:t>
  </x:si>
  <x:si>
    <x:t xml:space="preserve">Consultoría 0481 de 2026</x:t>
  </x:si>
  <x:si>
    <x:t xml:space="preserve">Campo</x:t>
  </x:si>
  <x:si>
    <x:t xml:space="preserve">Contenido</x:t>
  </x:si>
  <x:si>
    <x:t xml:space="preserve">Entidad</x:t>
  </x:si>
  <x:si>
    <x:t xml:space="preserve">E.S.E. Carmen Emilia Ospina</x:t>
  </x:si>
  <x:si>
    <x:t xml:space="preserve">Objeto</x:t>
  </x:si>
  <x:si>
    <x:t xml:space="preserve">Evaluación integral en salud, análisis de valor público y definición del modelo operativo del CAIMI</x:t>
  </x:si>
  <x:si>
    <x:t xml:space="preserve">Consultor</x:t>
  </x:si>
  <x:si>
    <x:t xml:space="preserve">Carlos Alberto Sandoval Zambrano</x:t>
  </x:si>
  <x:si>
    <x:t xml:space="preserve">Fecha de actualización</x:t>
  </x:si>
  <x:si>
    <x:t xml:space="preserve">Versión</x:t>
  </x:si>
  <x:si>
    <x:t xml:space="preserve">Regla de consistencia</x:t>
  </x:si>
  <x:si>
    <x:t xml:space="preserve">Fecha</x:t>
  </x:si>
  <x:si>
    <x:t xml:space="preserve">Cambio</x:t>
  </x:si>
  <x:si>
    <x:t xml:space="preserve">Responsable</x:t>
  </x:si>
  <x:si>
    <x:t xml:space="preserve">Estado</x:t>
  </x:si>
  <x:si>
    <x:t xml:space="preserve">Final</x:t>
  </x:si>
  <x:si>
    <x:t xml:space="preserve">2026-07-23</x:t>
  </x:si>
  <x:si>
    <x:t xml:space="preserve">Alineación completa con informe final  y actualización de matriz de escenarios a 2,54 para cierre/reconversión.</x:t>
  </x:si>
  <x:si>
    <x:t xml:space="preserve">Equipo consultor</x:t>
  </x:si>
  <x:si>
    <x:t xml:space="preserve">Versión previa de trabajo.</x:t>
  </x:si>
  <x:si>
    <x:t xml:space="preserve">Reemplazada</x:t>
  </x:si>
  <x:si>
    <x:t xml:space="preserve">2026-08-27</x:t>
  </x:si>
  <x:si>
    <x:t xml:space="preserve">Actualización del corte financiero institucional a 30 de junio de 2026 y sincronización final de costos CAIMI 2023-2026 primer semestre.</x:t>
  </x:si>
  <x:si>
    <x:t xml:space="preserve">Indicador</x:t>
  </x:si>
  <x:si>
    <x:t xml:space="preserve">Valor</x:t>
  </x:si>
  <x:si>
    <x:t xml:space="preserve">Lectura</x:t>
  </x:si>
  <x:si>
    <x:t xml:space="preserve">Escenario</x:t>
  </x:si>
  <x:si>
    <x:t xml:space="preserve">Puntaje</x:t>
  </x:si>
  <x:si>
    <x:t xml:space="preserve">Continuidad optimizada</x:t>
  </x:si>
  <x:si>
    <x:t xml:space="preserve">Tercerización condicionada</x:t>
  </x:si>
  <x:si>
    <x:t xml:space="preserve">Costo CAIMI 2025</x:t>
  </x:si>
  <x:si>
    <x:t xml:space="preserve">Costo 2025 actualizado a $9,83 mil millones; lectura sujeta a conciliación con radicación, glosa, recaudo y cartera</x:t>
  </x:si>
  <x:si>
    <x:t xml:space="preserve">Cierre / reconversión</x:t>
  </x:si>
  <x:si>
    <x:t xml:space="preserve">Registros de glosa</x:t>
  </x:si>
  <x:si>
    <x:t xml:space="preserve">Riesgo administrativo corregible con auditoría concurrente</x:t>
  </x:si>
  <x:si>
    <x:t xml:space="preserve">Periodo</x:t>
  </x:si>
  <x:si>
    <x:t xml:space="preserve">Pacientes</x:t>
  </x:si>
  <x:si>
    <x:t xml:space="preserve">Servicio</x:t>
  </x:si>
  <x:si>
    <x:t xml:space="preserve">Actividades</x:t>
  </x:si>
  <x:si>
    <x:t xml:space="preserve">EPS</x:t>
  </x:si>
  <x:si>
    <x:t xml:space="preserve">Glosas</x:t>
  </x:si>
  <x:si>
    <x:t xml:space="preserve">2023 (nov-dic)</x:t>
  </x:si>
  <x:si>
    <x:t xml:space="preserve">Medicamentos</x:t>
  </x:si>
  <x:si>
    <x:t xml:space="preserve">Salud Total</x:t>
  </x:si>
  <x:si>
    <x:t xml:space="preserve">2024</x:t>
  </x:si>
  <x:si>
    <x:t xml:space="preserve">Laboratorio clínico</x:t>
  </x:si>
  <x:si>
    <x:t xml:space="preserve">Sanitas</x:t>
  </x:si>
  <x:si>
    <x:t xml:space="preserve">2025</x:t>
  </x:si>
  <x:si>
    <x:t xml:space="preserve">Urgencias</x:t>
  </x:si>
  <x:si>
    <x:t xml:space="preserve">AIC</x:t>
  </x:si>
  <x:si>
    <x:t xml:space="preserve">2026 (ene-jun)</x:t>
  </x:si>
  <x:si>
    <x:t xml:space="preserve">Imagenología</x:t>
  </x:si>
  <x:si>
    <x:t xml:space="preserve">Asmet Salud</x:t>
  </x:si>
  <x:si>
    <x:t xml:space="preserve">Consulta externa</x:t>
  </x:si>
  <x:si>
    <x:t xml:space="preserve">Compensar</x:t>
  </x:si>
  <x:si>
    <x:t xml:space="preserve">Fuente</x:t>
  </x:si>
  <x:si>
    <x:t xml:space="preserve">Tipo</x:t>
  </x:si>
  <x:si>
    <x:t xml:space="preserve">Uso</x:t>
  </x:si>
  <x:si>
    <x:t xml:space="preserve">Confiabilidad</x:t>
  </x:si>
  <x:si>
    <x:t xml:space="preserve">Observación</x:t>
  </x:si>
  <x:si>
    <x:t xml:space="preserve">Contrato de consultoría</x:t>
  </x:si>
  <x:si>
    <x:t xml:space="preserve">PDF escaneado</x:t>
  </x:si>
  <x:si>
    <x:t xml:space="preserve">2026</x:t>
  </x:si>
  <x:si>
    <x:t xml:space="preserve">Alcance y obligaciones</x:t>
  </x:si>
  <x:si>
    <x:t xml:space="preserve">Alta</x:t>
  </x:si>
  <x:si>
    <x:t xml:space="preserve">Fuente contractual</x:t>
  </x:si>
  <x:si>
    <x:t xml:space="preserve">Informe final </x:t>
  </x:si>
  <x:si>
    <x:t xml:space="preserve">DOCX/PDF</x:t>
  </x:si>
  <x:si>
    <x:t xml:space="preserve">Fuente de cierre y coherencia</x:t>
  </x:si>
  <x:si>
    <x:t xml:space="preserve">Versión actualizada</x:t>
  </x:si>
  <x:si>
    <x:t xml:space="preserve">Estados financieros</x:t>
  </x:si>
  <x:si>
    <x:t xml:space="preserve">PDF</x:t>
  </x:si>
  <x:si>
    <x:t xml:space="preserve">2023-30 junio 2026</x:t>
  </x:si>
  <x:si>
    <x:t xml:space="preserve">Análisis institucional histórico y corte financiero 2026</x:t>
  </x:si>
  <x:si>
    <x:t xml:space="preserve">Estados financieros certificados; corte 2026 actualizado al 30 de junio</x:t>
  </x:si>
  <x:si>
    <x:t xml:space="preserve">Metodología de costeo</x:t>
  </x:si>
  <x:si>
    <x:t xml:space="preserve">Costeo por absorción</x:t>
  </x:si>
  <x:si>
    <x:t xml:space="preserve">Base metodológica institucional</x:t>
  </x:si>
  <x:si>
    <x:t xml:space="preserve">Bases RIPS / producción</x:t>
  </x:si>
  <x:si>
    <x:t xml:space="preserve">XLSX/ZIP</x:t>
  </x:si>
  <x:si>
    <x:t xml:space="preserve">2023-2026</x:t>
  </x:si>
  <x:si>
    <x:t xml:space="preserve">Demanda, producción, episodios</x:t>
  </x:si>
  <x:si>
    <x:t xml:space="preserve">Media</x:t>
  </x:si>
  <x:si>
    <x:t xml:space="preserve">Requiere conciliación mensual</x:t>
  </x:si>
  <x:si>
    <x:t xml:space="preserve">XLSX</x:t>
  </x:si>
  <x:si>
    <x:t xml:space="preserve">Riesgo de ingreso y auditoría</x:t>
  </x:si>
  <x:si>
    <x:t xml:space="preserve">No equivale automáticamente a valor monetario</x:t>
  </x:si>
  <x:si>
    <x:t xml:space="preserve">Inventario biomédico</x:t>
  </x:si>
  <x:si>
    <x:t xml:space="preserve">Estado de equipos</x:t>
  </x:si>
  <x:si>
    <x:t xml:space="preserve">Requiere priorización por criticidad</x:t>
  </x:si>
  <x:si>
    <x:t xml:space="preserve">Aplicativo final</x:t>
  </x:si>
  <x:si>
    <x:t xml:space="preserve">Web / outputs</x:t>
  </x:si>
  <x:si>
    <x:t xml:space="preserve">Visualización y análisis</x:t>
  </x:si>
  <x:si>
    <x:t xml:space="preserve">Debe operar como tablero mensual</x:t>
  </x:si>
  <x:si>
    <x:t xml:space="preserve">Base de centros de costo CAIMI</x:t>
  </x:si>
  <x:si>
    <x:t xml:space="preserve">2023-2026 primer semestre</x:t>
  </x:si>
  <x:si>
    <x:t xml:space="preserve">Costos, facturación y resultado por centro</x:t>
  </x:si>
  <x:si>
    <x:t xml:space="preserve">Alta con observaciones</x:t>
  </x:si>
  <x:si>
    <x:t xml:space="preserve">Fuente maestra: CAIMI 2023-2026 1 SEM (1)(2).xlsx; resultado agregado conciliado como facturado - costo</x:t>
  </x:si>
  <x:si>
    <x:t xml:space="preserve">Variable</x:t>
  </x:si>
  <x:si>
    <x:t xml:space="preserve">Total</x:t>
  </x:si>
  <x:si>
    <x:t xml:space="preserve">07_Pacientes</x:t>
  </x:si>
  <x:si>
    <x:t xml:space="preserve">08_Produccion_servicios</x:t>
  </x:si>
  <x:si>
    <x:t xml:space="preserve">Tendencia mensual</x:t>
  </x:si>
  <x:si>
    <x:t xml:space="preserve">09_Tendencia_mensual</x:t>
  </x:si>
  <x:si>
    <x:t xml:space="preserve">16_Glosas_EPS</x:t>
  </x:si>
  <x:si>
    <x:t xml:space="preserve">Validado</x:t>
  </x:si>
  <x:si>
    <x:t xml:space="preserve">18_Equipos_biomedicos</x:t>
  </x:si>
  <x:si>
    <x:t xml:space="preserve">12_Costos_CAIMI</x:t>
  </x:si>
  <x:si>
    <x:t xml:space="preserve">Validado - base actualizada</x:t>
  </x:si>
  <x:si>
    <x:t xml:space="preserve">20_Matriz_escenarios</x:t>
  </x:si>
  <x:si>
    <x:t xml:space="preserve">Dimensión</x:t>
  </x:si>
  <x:si>
    <x:t xml:space="preserve">Riesgo</x:t>
  </x:si>
  <x:si>
    <x:t xml:space="preserve">Acción recomendada</x:t>
  </x:si>
  <x:si>
    <x:t xml:space="preserve">Completitud</x:t>
  </x:si>
  <x:si>
    <x:t xml:space="preserve">Repositorio único y diccionario de datos</x:t>
  </x:si>
  <x:si>
    <x:t xml:space="preserve">Consistencia</x:t>
  </x:si>
  <x:si>
    <x:t xml:space="preserve">Trazabilidad</x:t>
  </x:si>
  <x:si>
    <x:t xml:space="preserve">Alta en fuentes contractuales y financieras</x:t>
  </x:si>
  <x:si>
    <x:t xml:space="preserve">Media en bases operativas</x:t>
  </x:si>
  <x:si>
    <x:t xml:space="preserve">Matriz fuente-indicador</x:t>
  </x:si>
  <x:si>
    <x:t xml:space="preserve">Oportunidad</x:t>
  </x:si>
  <x:si>
    <x:t xml:space="preserve">Cortes parciales 2023 y 2026</x:t>
  </x:si>
  <x:si>
    <x:t xml:space="preserve">Comparaciones anuales distorsionadas</x:t>
  </x:si>
  <x:si>
    <x:t xml:space="preserve">Separar corte parcial de año completo</x:t>
  </x:si>
  <x:si>
    <x:t xml:space="preserve">Reproducibilidad</x:t>
  </x:si>
  <x:si>
    <x:t xml:space="preserve">Cálculos no siempre parametrizados</x:t>
  </x:si>
  <x:si>
    <x:t xml:space="preserve">Pacientes atendidos</x:t>
  </x:si>
  <x:si>
    <x:t xml:space="preserve">Grupo de atención</x:t>
  </x:si>
  <x:si>
    <x:t xml:space="preserve">Promoción y prevención</x:t>
  </x:si>
  <x:si>
    <x:t xml:space="preserve">Ambulancia</x:t>
  </x:si>
  <x:si>
    <x:t xml:space="preserve">Hospitalización</x:t>
  </x:si>
  <x:si>
    <x:t xml:space="preserve">Otros</x:t>
  </x:si>
  <x:si>
    <x:t xml:space="preserve">Mes</x:t>
  </x:si>
  <x:si>
    <x:t xml:space="preserve">Ene</x:t>
  </x:si>
  <x:si>
    <x:t xml:space="preserve">Feb</x:t>
  </x:si>
  <x:si>
    <x:t xml:space="preserve">Mar</x:t>
  </x:si>
  <x:si>
    <x:t xml:space="preserve">Abr</x:t>
  </x:si>
  <x:si>
    <x:t xml:space="preserve">May</x:t>
  </x:si>
  <x:si>
    <x:t xml:space="preserve">Jun</x:t>
  </x:si>
  <x:si>
    <x:t xml:space="preserve">Jul</x:t>
  </x:si>
  <x:si>
    <x:t xml:space="preserve">Ago</x:t>
  </x:si>
  <x:si>
    <x:t xml:space="preserve">Sep</x:t>
  </x:si>
  <x:si>
    <x:t xml:space="preserve">Oct</x:t>
  </x:si>
  <x:si>
    <x:t xml:space="preserve">Nov</x:t>
  </x:si>
  <x:si>
    <x:t xml:space="preserve">Dic</x:t>
  </x:si>
  <x:si>
    <x:t xml:space="preserve">Vigencia</x:t>
  </x:si>
  <x:si>
    <x:t xml:space="preserve">Costo total</x:t>
  </x:si>
  <x:si>
    <x:t xml:space="preserve">2023</x:t>
  </x:si>
  <x:si>
    <x:t xml:space="preserve">2026 - primer semestre</x:t>
  </x:si>
  <x:si>
    <x:t xml:space="preserve">Vigencia </x:t>
  </x:si>
  <x:si>
    <x:t xml:space="preserve">Código</x:t>
  </x:si>
  <x:si>
    <x:t xml:space="preserve">Nombre</x:t>
  </x:si>
  <x:si>
    <x:t xml:space="preserve">Tipo de Centro</x:t>
  </x:si>
  <x:si>
    <x:t xml:space="preserve">Gastos Directos</x:t>
  </x:si>
  <x:si>
    <x:t xml:space="preserve">Gastos Variables</x:t>
  </x:si>
  <x:si>
    <x:t xml:space="preserve">Mano de Obra Directa</x:t>
  </x:si>
  <x:si>
    <x:t xml:space="preserve">Mano de Obra Indirecta</x:t>
  </x:si>
  <x:si>
    <x:t xml:space="preserve">Activos Fijos</x:t>
  </x:si>
  <x:si>
    <x:t xml:space="preserve">Dispensación</x:t>
  </x:si>
  <x:si>
    <x:t xml:space="preserve">Consumo</x:t>
  </x:si>
  <x:si>
    <x:t xml:space="preserve">Distribución Primaria</x:t>
  </x:si>
  <x:si>
    <x:t xml:space="preserve">Distribución Secundaria</x:t>
  </x:si>
  <x:si>
    <x:t xml:space="preserve">Costo Total</x:t>
  </x:si>
  <x:si>
    <x:t xml:space="preserve">Facturado</x:t>
  </x:si>
  <x:si>
    <x:t xml:space="preserve">Perdida / Ganancia</x:t>
  </x:si>
  <x:si>
    <x:t xml:space="preserve">2026 I SEM</x:t>
  </x:si>
  <x:si>
    <x:t xml:space="preserve">MIADIM78   </x:t>
  </x:si>
  <x:si>
    <x:t xml:space="preserve">IMAGENOLOGIA CAIMI</x:t>
  </x:si>
  <x:si>
    <x:t xml:space="preserve">Operativo</x:t>
  </x:si>
  <x:si>
    <x:t xml:space="preserve">MIADLB81 </x:t>
  </x:si>
  <x:si>
    <x:t xml:space="preserve">LABORATORIO CLINICO CAIMI</x:t>
  </x:si>
  <x:si>
    <x:t xml:space="preserve">MIECPP80</x:t>
  </x:si>
  <x:si>
    <x:t xml:space="preserve">P Y P CAIMI</x:t>
  </x:si>
  <x:si>
    <x:t xml:space="preserve">MISAM84</x:t>
  </x:si>
  <x:si>
    <x:t xml:space="preserve">C. EXT CAIMI</x:t>
  </x:si>
  <x:si>
    <x:t xml:space="preserve">MISHHB81</x:t>
  </x:si>
  <x:si>
    <x:t xml:space="preserve">HOSPITALIZACION CAIMI</x:t>
  </x:si>
  <x:si>
    <x:t xml:space="preserve">MISHOB31</x:t>
  </x:si>
  <x:si>
    <x:t xml:space="preserve">SALA DE PARTOS CAIMI</x:t>
  </x:si>
  <x:si>
    <x:t xml:space="preserve">MISUAU81 </x:t>
  </x:si>
  <x:si>
    <x:t xml:space="preserve">URGENCIAS -OBSERVACIÓN CAIMI</x:t>
  </x:si>
  <x:si>
    <x:t xml:space="preserve">SALMEN31</x:t>
  </x:si>
  <x:si>
    <x:t xml:space="preserve">S. MENTAL CAIMI</x:t>
  </x:si>
  <x:si>
    <x:t xml:space="preserve">VIEP33</x:t>
  </x:si>
  <x:si>
    <x:t xml:space="preserve">VIGILANCIA EPIDEMIOLOGICA CAIMI</x:t>
  </x:si>
  <x:si>
    <x:t xml:space="preserve">MISHOB32</x:t>
  </x:si>
  <x:si>
    <x:t xml:space="preserve">SALA DE CIRUGIA CAIMI</x:t>
  </x:si>
  <x:si>
    <x:t xml:space="preserve">URGENCIAS CAIMI</x:t>
  </x:si>
  <x:si>
    <x:t xml:space="preserve">Activos</x:t>
  </x:si>
  <x:si>
    <x:t xml:space="preserve">Pasivos</x:t>
  </x:si>
  <x:si>
    <x:t xml:space="preserve">Patrimonio</x:t>
  </x:si>
  <x:si>
    <x:t xml:space="preserve">Ingresos</x:t>
  </x:si>
  <x:si>
    <x:t xml:space="preserve">Costos prestación</x:t>
  </x:si>
  <x:si>
    <x:t xml:space="preserve">Utilidad bruta</x:t>
  </x:si>
  <x:si>
    <x:t xml:space="preserve">Resultado operacional</x:t>
  </x:si>
  <x:si>
    <x:t xml:space="preserve">Resultado periodo</x:t>
  </x:si>
  <x:si>
    <x:t xml:space="preserve">Liquidez estimada</x:t>
  </x:si>
  <x:si>
    <x:t xml:space="preserve">Junio 2026</x:t>
  </x:si>
  <x:si>
    <x:t xml:space="preserve">Liquidez corriente</x:t>
  </x:si>
  <x:si>
    <x:t xml:space="preserve">Endeudamiento</x:t>
  </x:si>
  <x:si>
    <x:t xml:space="preserve">Margen bruto</x:t>
  </x:si>
  <x:si>
    <x:t xml:space="preserve">Margen neto</x:t>
  </x:si>
  <x:si>
    <x:t xml:space="preserve">Capital de trabajo</x:t>
  </x:si>
  <x:si>
    <x:t xml:space="preserve">Costo / ingreso</x:t>
  </x:si>
  <x:si>
    <x:t xml:space="preserve">Registros</x:t>
  </x:si>
  <x:si>
    <x:t xml:space="preserve">Emssanar</x:t>
  </x:si>
  <x:si>
    <x:t xml:space="preserve">Coosalud</x:t>
  </x:si>
  <x:si>
    <x:t xml:space="preserve">Concepto</x:t>
  </x:si>
  <x:si>
    <x:t xml:space="preserve">Consultas, interconsultas y visitas médicas</x:t>
  </x:si>
  <x:si>
    <x:t xml:space="preserve">Usuario/servicio corresponde a capitación</x:t>
  </x:si>
  <x:si>
    <x:t xml:space="preserve">Diferencias con valores pactados o norma</x:t>
  </x:si>
  <x:si>
    <x:t xml:space="preserve">Comprobante recibido del usuario</x:t>
  </x:si>
  <x:si>
    <x:t xml:space="preserve">Recobro en capitación por otro prestador</x:t>
  </x:si>
  <x:si>
    <x:t xml:space="preserve">Responsable de pago diferente</x:t>
  </x:si>
  <x:si>
    <x:t xml:space="preserve">Ayudas diagnósticas</x:t>
  </x:si>
  <x:si>
    <x:t xml:space="preserve">Otros conceptos</x:t>
  </x:si>
  <x:si>
    <x:t xml:space="preserve">Categoría</x:t>
  </x:si>
  <x:si>
    <x:t xml:space="preserve">Registros de ausentismo</x:t>
  </x:si>
  <x:si>
    <x:t xml:space="preserve">Permiso sindical</x:t>
  </x:si>
  <x:si>
    <x:t xml:space="preserve">Incapacidad / licencia</x:t>
  </x:si>
  <x:si>
    <x:t xml:space="preserve">Calamidad / permiso</x:t>
  </x:si>
  <x:si>
    <x:t xml:space="preserve">Otros eventos</x:t>
  </x:si>
  <x:si>
    <x:t xml:space="preserve">Sanitario</x:t>
  </x:si>
  <x:si>
    <x:t xml:space="preserve">Acceso</x:t>
  </x:si>
  <x:si>
    <x:t xml:space="preserve">Calidad</x:t>
  </x:si>
  <x:si>
    <x:t xml:space="preserve">Financiero</x:t>
  </x:si>
  <x:si>
    <x:t xml:space="preserve">Jurídico</x:t>
  </x:si>
  <x:si>
    <x:t xml:space="preserve">Riesgo implementación</x:t>
  </x:si>
  <x:si>
    <x:t xml:space="preserve">Territorial</x:t>
  </x:si>
  <x:si>
    <x:t xml:space="preserve">Unidad</x:t>
  </x:si>
  <x:si>
    <x:t xml:space="preserve">Horizonte</x:t>
  </x:si>
  <x:si>
    <x:t xml:space="preserve">años</x:t>
  </x:si>
  <x:si>
    <x:t xml:space="preserve">Crecimiento demanda</x:t>
  </x:si>
  <x:si>
    <x:t xml:space="preserve">Inflación costos</x:t>
  </x:si>
  <x:si>
    <x:t xml:space="preserve">Mejora glosa esperada</x:t>
  </x:si>
  <x:si>
    <x:t xml:space="preserve">Meta recaudo</x:t>
  </x:si>
  <x:si>
    <x:t xml:space="preserve">Disponibilidad biomédica meta</x:t>
  </x:si>
  <x:si>
    <x:t xml:space="preserve">Tasa de descuento</x:t>
  </x:si>
  <x:si>
    <x:t xml:space="preserve">Escenario de sensibilidad</x:t>
  </x:si>
  <x:si>
    <x:t xml:space="preserve">Supuesto crítico</x:t>
  </x:si>
  <x:si>
    <x:t xml:space="preserve">Decisión gerencial</x:t>
  </x:si>
  <x:si>
    <x:t xml:space="preserve">Base</x:t>
  </x:si>
  <x:si>
    <x:t xml:space="preserve">Adverso</x:t>
  </x:si>
  <x:si>
    <x:t xml:space="preserve">Glosa persistente y baja conciliación de datos</x:t>
  </x:si>
  <x:si>
    <x:t xml:space="preserve">No contratar sin fortalecer controles</x:t>
  </x:si>
  <x:si>
    <x:t xml:space="preserve">Optimista</x:t>
  </x:si>
  <x:si>
    <x:t xml:space="preserve">Estrés cierre</x:t>
  </x:si>
  <x:si>
    <x:t xml:space="preserve">Absorción de red no demostrada</x:t>
  </x:si>
  <x:si>
    <x:t xml:space="preserve">Descartar cierre simple</x:t>
  </x:si>
  <x:si>
    <x:t xml:space="preserve">Meta sugerida</x:t>
  </x:si>
  <x:si>
    <x:t xml:space="preserve">Periodicidad</x:t>
  </x:si>
  <x:si>
    <x:t xml:space="preserve">Producción mensual</x:t>
  </x:si>
  <x:si>
    <x:t xml:space="preserve">RIPS / facturación</x:t>
  </x:si>
  <x:si>
    <x:t xml:space="preserve">Tendencia controlada</x:t>
  </x:si>
  <x:si>
    <x:t xml:space="preserve">Mensual</x:t>
  </x:si>
  <x:si>
    <x:t xml:space="preserve">Operación</x:t>
  </x:si>
  <x:si>
    <x:t xml:space="preserve">Control de volumen y estacionalidad</x:t>
  </x:si>
  <x:si>
    <x:t xml:space="preserve">Tasa de glosa</x:t>
  </x:si>
  <x:si>
    <x:t xml:space="preserve">&lt;3%</x:t>
  </x:si>
  <x:si>
    <x:t xml:space="preserve">Costo por actividad</x:t>
  </x:si>
  <x:si>
    <x:t xml:space="preserve">Costos actualizados / producción</x:t>
  </x:si>
  <x:si>
    <x:t xml:space="preserve">Reducción progresiva</x:t>
  </x:si>
  <x:si>
    <x:t xml:space="preserve">Costos</x:t>
  </x:si>
  <x:si>
    <x:t xml:space="preserve">Mejorar eficiencia</x:t>
  </x:si>
  <x:si>
    <x:t xml:space="preserve">Disponibilidad tecnológica</x:t>
  </x:si>
  <x:si>
    <x:t xml:space="preserve">RIPS validados</x:t>
  </x:si>
  <x:si>
    <x:t xml:space="preserve">RIPS / FEV</x:t>
  </x:si>
  <x:si>
    <x:t xml:space="preserve">&gt;98%</x:t>
  </x:si>
  <x:si>
    <x:t xml:space="preserve">Información</x:t>
  </x:si>
  <x:si>
    <x:t xml:space="preserve">Reducir reprocesos</x:t>
  </x:si>
  <x:si>
    <x:t xml:space="preserve">Cumplimiento de ruta</x:t>
  </x:si>
  <x:si>
    <x:t xml:space="preserve">RIPS / HC</x:t>
  </x:si>
  <x:si>
    <x:t xml:space="preserve">&gt;90%</x:t>
  </x:si>
  <x:si>
    <x:t xml:space="preserve">Proteger continuidad clínica</x:t>
  </x:si>
  <x:si>
    <x:t xml:space="preserve">Conciliación de datos</x:t>
  </x:si>
  <x:si>
    <x:t xml:space="preserve">Costos + producción + facturación + recaudo</x:t>
  </x:si>
  <x:si>
    <x:t xml:space="preserve">100% mensual</x:t>
  </x:si>
  <x:si>
    <x:t xml:space="preserve">Gobierno</x:t>
  </x:si>
  <x:si>
    <x:t xml:space="preserve">Alinear fuente única de verdad</x:t>
  </x:si>
  <x:si>
    <x:t xml:space="preserve">Impacto</x:t>
  </x:si>
  <x:si>
    <x:t xml:space="preserve">Mitigación prioritaria</x:t>
  </x:si>
  <x:si>
    <x:t xml:space="preserve">Nivel</x:t>
  </x:si>
  <x:si>
    <x:t xml:space="preserve">Probabilidad</x:t>
  </x:si>
  <x:si>
    <x:t xml:space="preserve">Datos no conciliados</x:t>
  </x:si>
  <x:si>
    <x:t xml:space="preserve">Decisiones parciales y seguimiento débil</x:t>
  </x:si>
  <x:si>
    <x:t xml:space="preserve">Gobierno de datos y tablero mensual</x:t>
  </x:si>
  <x:si>
    <x:t xml:space="preserve">Alto</x:t>
  </x:si>
  <x:si>
    <x:t xml:space="preserve">Glosas recurrentes</x:t>
  </x:si>
  <x:si>
    <x:t xml:space="preserve">Pérdida de ingreso y reproceso</x:t>
  </x:si>
  <x:si>
    <x:t xml:space="preserve">Auditoría concurrente y validación previa</x:t>
  </x:si>
  <x:si>
    <x:t xml:space="preserve">Equipos críticos</x:t>
  </x:si>
  <x:si>
    <x:t xml:space="preserve">Afectación operativa y clínica</x:t>
  </x:si>
  <x:si>
    <x:t xml:space="preserve">Tercerización mal diseñada</x:t>
  </x:si>
  <x:si>
    <x:t xml:space="preserve">Pérdida de control, calidad o información</x:t>
  </x:si>
  <x:si>
    <x:t xml:space="preserve">Contrato por resultados y reversibilidad</x:t>
  </x:si>
  <x:si>
    <x:t xml:space="preserve">Cierre sin red preparada</x:t>
  </x:si>
  <x:si>
    <x:t xml:space="preserve">Barreras de acceso y ruptura de continuidad</x:t>
  </x:si>
  <x:si>
    <x:t xml:space="preserve">No ejecutar sin absorción demostrada</x:t>
  </x:si>
  <x:si>
    <x:t xml:space="preserve">Crítico</x:t>
  </x:si>
  <x:si>
    <x:t xml:space="preserve">Baja</x:t>
  </x:si>
  <x:si>
    <x:t xml:space="preserve">Acción prioritaria</x:t>
  </x:si>
  <x:si>
    <x:t xml:space="preserve">Producto</x:t>
  </x:si>
  <x:si>
    <x:t xml:space="preserve">Prioridad</x:t>
  </x:si>
  <x:si>
    <x:t xml:space="preserve">0-30 días</x:t>
  </x:si>
  <x:si>
    <x:t xml:space="preserve">Conciliar producción-costos-facturación-recaudo</x:t>
  </x:si>
  <x:si>
    <x:t xml:space="preserve">Base única CAIMI</x:t>
  </x:si>
  <x:si>
    <x:t xml:space="preserve">Gerencia / Subgerencia</x:t>
  </x:si>
  <x:si>
    <x:t xml:space="preserve">Biomédica / Operación</x:t>
  </x:si>
  <x:si>
    <x:t xml:space="preserve">31-100 días</x:t>
  </x:si>
  <x:si>
    <x:t xml:space="preserve">Implementar tablero mensual</x:t>
  </x:si>
  <x:si>
    <x:t xml:space="preserve">Dashboard de gestión</x:t>
  </x:si>
  <x:si>
    <x:t xml:space="preserve">Planeación / Sistemas</x:t>
  </x:si>
  <x:si>
    <x:t xml:space="preserve">Estructurar alternativa contractual</x:t>
  </x:si>
  <x:si>
    <x:t xml:space="preserve">Nota técnica y matriz de riesgos</x:t>
  </x:si>
  <x:si>
    <x:t xml:space="preserve">Jurídica / Financiera</x:t>
  </x:si>
  <x:si>
    <x:t xml:space="preserve">4-12 meses</x:t>
  </x:si>
  <x:si>
    <x:t xml:space="preserve">Implementar modelo seleccionado</x:t>
  </x:si>
  <x:si>
    <x:t xml:space="preserve">Actas de seguimiento mensual</x:t>
  </x:si>
  <x:si>
    <x:t xml:space="preserve">Comité de seguimiento</x:t>
  </x:si>
  <x:si>
    <x:t xml:space="preserve">13-24 meses</x:t>
  </x:si>
  <x:si>
    <x:t xml:space="preserve">Evaluar impacto y reversibilidad</x:t>
  </x:si>
  <x:si>
    <x:t xml:space="preserve">Informe anual de resultados</x:t>
  </x:si>
  <x:si>
    <x:t xml:space="preserve">Gerencia</x:t>
  </x:si>
  <x:si>
    <x:t xml:space="preserve">Obligación / actividad</x:t>
  </x:si>
  <x:si>
    <x:t xml:space="preserve">Evidencia</x:t>
  </x:si>
  <x:si>
    <x:t xml:space="preserve">Ubicación</x:t>
  </x:si>
  <x:si>
    <x:t xml:space="preserve">Reunión de inicio y plan de trabajo</x:t>
  </x:si>
  <x:si>
    <x:t xml:space="preserve">Evidencia documental y metodología</x:t>
  </x:si>
  <x:si>
    <x:t xml:space="preserve">Informe cap. 1-2 / Anexos</x:t>
  </x:si>
  <x:si>
    <x:t xml:space="preserve">Revisar información técnica, financiera, operativa, asistencial y administrativa</x:t>
  </x:si>
  <x:si>
    <x:t xml:space="preserve">Matriz de fuentes y bases procesadas</x:t>
  </x:si>
  <x:si>
    <x:t xml:space="preserve">Anexos / Excel</x:t>
  </x:si>
  <x:si>
    <x:t xml:space="preserve">Diagnóstico integral del CAIMI</x:t>
  </x:si>
  <x:si>
    <x:t xml:space="preserve">Capítulos asistencial, operativo, financiero, costos y glosas</x:t>
  </x:si>
  <x:si>
    <x:t xml:space="preserve">Informe cap. 6-23</x:t>
  </x:si>
  <x:si>
    <x:t xml:space="preserve">Analizar capacidad, oferta, demanda, producción, costos, facturación y talento humano</x:t>
  </x:si>
  <x:si>
    <x:t xml:space="preserve">Tablas, gráficos y modelo Excel</x:t>
  </x:si>
  <x:si>
    <x:t xml:space="preserve">Informe cap. 6-22</x:t>
  </x:si>
  <x:si>
    <x:t xml:space="preserve">Identificar brechas, riesgos y oportunidades</x:t>
  </x:si>
  <x:si>
    <x:t xml:space="preserve">Matrices de riesgos, datos, equipos y procesos</x:t>
  </x:si>
  <x:si>
    <x:t xml:space="preserve">Informe cap. 13-16, 32</x:t>
  </x:si>
  <x:si>
    <x:t xml:space="preserve">Realizar análisis de valor público</x:t>
  </x:si>
  <x:si>
    <x:t xml:space="preserve">Matriz de valor público sanitario y territorial</x:t>
  </x:si>
  <x:si>
    <x:t xml:space="preserve">Informe cap. 12</x:t>
  </x:si>
  <x:si>
    <x:t xml:space="preserve">Formular y comparar escenarios</x:t>
  </x:si>
  <x:si>
    <x:t xml:space="preserve">Matriz multicriterio y sensibilidad</x:t>
  </x:si>
  <x:si>
    <x:t xml:space="preserve">Informe cap. 24-28</x:t>
  </x:si>
  <x:si>
    <x:t xml:space="preserve">Elaborar informe final y presentación ejecutiva</x:t>
  </x:si>
  <x:si>
    <x:t xml:space="preserve">Entregables finales</x:t>
  </x:si>
  <x:si>
    <x:t xml:space="preserve">Norma / fuente</x:t>
  </x:si>
  <x:si>
    <x:t xml:space="preserve">Aplicación al CAIMI</x:t>
  </x:si>
  <x:si>
    <x:t xml:space="preserve">Uso en consultoría</x:t>
  </x:si>
  <x:si>
    <x:t xml:space="preserve">Ley 100 de 1993, art. 195</x:t>
  </x:si>
  <x:si>
    <x:t xml:space="preserve">Régimen de Empresas Sociales del Estado</x:t>
  </x:si>
  <x:si>
    <x:t xml:space="preserve">Marco jurídico de operación y contratación</x:t>
  </x:si>
  <x:si>
    <x:t xml:space="preserve">Gobernanza contractual</x:t>
  </x:si>
  <x:si>
    <x:t xml:space="preserve">Resolución 3280 de 2018</x:t>
  </x:si>
  <x:si>
    <x:t xml:space="preserve">RIAS y ruta materno-perinatal</x:t>
  </x:si>
  <x:si>
    <x:t xml:space="preserve">Criterios sanitarios y trazadores</x:t>
  </x:si>
  <x:si>
    <x:t xml:space="preserve">Decreto 441 de 2022</x:t>
  </x:si>
  <x:si>
    <x:t xml:space="preserve">Acuerdos de voluntades y nota técnica</x:t>
  </x:si>
  <x:si>
    <x:t xml:space="preserve">Modelación operativa y financiera</x:t>
  </x:si>
  <x:si>
    <x:t xml:space="preserve">Manual de Contratación E.S.E. CEO</x:t>
  </x:si>
  <x:si>
    <x:t xml:space="preserve">Referencia</x:t>
  </x:si>
  <x:si>
    <x:t xml:space="preserve">Archivo / fuente</x:t>
  </x:si>
  <x:si>
    <x:t xml:space="preserve">CONTRATO (2).pdf</x:t>
  </x:si>
  <x:si>
    <x:t xml:space="preserve">Propuesta de consultoría</x:t>
  </x:si>
  <x:si>
    <x:t xml:space="preserve">Propuesta CEO 25052026.docx</x:t>
  </x:si>
  <x:si>
    <x:t xml:space="preserve">Estados financieros 2024</x:t>
  </x:si>
  <x:si>
    <x:t xml:space="preserve">12.ESTADOS-FINANCIEROS-A-31-DE-DICIEMBRE-2024.pdf</x:t>
  </x:si>
  <x:si>
    <x:t xml:space="preserve">Estados financieros 2025</x:t>
  </x:si>
  <x:si>
    <x:t xml:space="preserve">12.ESTADOS-FINANCIEROS-A-31-DE-DICIEMBRE-2025-3.pdf</x:t>
  </x:si>
  <x:si>
    <x:t xml:space="preserve">Estados financieros junio 2026</x:t>
  </x:si>
  <x:si>
    <x:t xml:space="preserve">06.ESTADOS-FINANCIEROS-A-30-DE-JUNIO-2026.pdf</x:t>
  </x:si>
  <x:si>
    <x:t xml:space="preserve">Metodología de Costeo ESE Carmen Emilia Ospina.pdf</x:t>
  </x:si>
  <x:si>
    <x:t xml:space="preserve">Inventario equipos biomédicos</x:t>
  </x:si>
  <x:si>
    <x:t xml:space="preserve">INVENTARIO DE EQUIPOS BIOMÉDICOS SEDE CAIMI .pdf</x:t>
  </x:si>
  <x:si>
    <x:t xml:space="preserve">GLOSAS-1.xlsx</x:t>
  </x:si>
  <x:si>
    <x:t xml:space="preserve">Grupo</x:t>
  </x:si>
  <x:si>
    <x:t xml:space="preserve">Apoyo diagnóstico imagenología</x:t>
  </x:si>
  <x:si>
    <x:t xml:space="preserve">Dato</x:t>
  </x:si>
  <x:si>
    <x:t xml:space="preserve">Entregables</x:t>
  </x:si>
  <x:si>
    <x:t xml:space="preserve">97.583</x:t>
  </x:si>
  <x:si>
    <x:t xml:space="preserve">730.301</x:t>
  </x:si>
  <x:si>
    <x:t xml:space="preserve">812</x:t>
  </x:si>
  <x:si>
    <x:t xml:space="preserve">$9,83 mil millones</x:t>
  </x:si>
  <x:si>
    <x:t xml:space="preserve">Validado - costos actualizados</x:t>
  </x:si>
  <x:si>
    <x:t xml:space="preserve">Puntaje continuidad</x:t>
  </x:si>
  <x:si>
    <x:t xml:space="preserve">Puntaje tercerización</x:t>
  </x:si>
  <x:si>
    <x:t xml:space="preserve">Puntaje cierre/reconversión</x:t>
  </x:si>
  <x:si>
    <x:t xml:space="preserve">Conciliación de costos CAIMI</x:t>
  </x:si>
  <x:si>
    <x:t xml:space="preserve">Fuente: CAIMI 2023-2026 1 SEM (1)(2).xlsx. Resultado = Facturado - Costo total.</x:t>
  </x:si>
  <x:si>
    <x:t xml:space="preserve">Centros válidos</x:t>
  </x:si>
  <x:si>
    <x:t xml:space="preserve">Resultado</x:t>
  </x:si>
  <x:si>
    <x:t xml:space="preserve">Control</x:t>
  </x:si>
</x:sst>
</file>

<file path=xl/styles.xml><?xml version="1.0" encoding="utf-8"?>
<x:styleSheet xmlns:x="http://schemas.openxmlformats.org/spreadsheetml/2006/main">
  <x:numFmts count="12">
    <x:numFmt numFmtId="164" formatCode="\$#,##0"/>
    <x:numFmt numFmtId="165" formatCode="0.0%"/>
    <x:numFmt numFmtId="168" formatCode="#,##0.00;[Red]\(#,##0.00\);\-"/>
    <x:numFmt numFmtId="170" formatCode="0.00\x"/>
    <x:numFmt numFmtId="171" formatCode="&quot;$&quot;\ #,##0"/>
    <x:numFmt numFmtId="200" formatCode="dd/mm/yyyy"/>
    <x:numFmt numFmtId="201" formatCode="@"/>
    <x:numFmt numFmtId="202" formatCode="#,##0;(#,##0);&quot;-&quot;"/>
    <x:numFmt numFmtId="203" formatCode="0.00%;(0.00%);&quot;-&quot;"/>
    <x:numFmt numFmtId="204" formatCode="0.00"/>
    <x:numFmt numFmtId="205" formatCode="0"/>
    <x:numFmt numFmtId="206" formatCode="#,##0.00;(#,##0.00);&quot;-&quot;"/>
  </x:numFmts>
  <x:fonts count="17">
    <x:font>
      <x:sz val="11"/>
      <x:name val="Carlito"/>
    </x:font>
    <x:font>
      <x:b/>
      <x:sz val="16"/>
      <x:color rgb="FFFFFFFF"/>
      <x:name val="Carlito"/>
    </x:font>
    <x:font>
      <x:sz val="10"/>
      <x:color rgb="FF3C444C"/>
      <x:name val="Carlito"/>
    </x:font>
    <x:font>
      <x:b/>
      <x:sz val="11"/>
      <x:color rgb="FFFFFFFF"/>
      <x:name val="Carlito"/>
    </x:font>
    <x:font>
      <x:b/>
      <x:sz val="16"/>
      <x:color rgb="FFFFFFFF"/>
      <x:name val="Arial"/>
    </x:font>
    <x:font>
      <x:sz val="10"/>
      <x:color rgb="FF3C444C"/>
      <x:name val="Arial"/>
    </x:font>
    <x:font>
      <x:sz val="11"/>
      <x:name val="Arial"/>
    </x:font>
    <x:font>
      <x:b/>
      <x:sz val="11"/>
      <x:color rgb="FFFFFFFF"/>
      <x:name val="Carlito"/>
    </x:font>
    <x:font>
      <x:b/>
      <x:sz val="14"/>
      <x:color rgb="FF0B3A5E"/>
      <x:name val="Carlito"/>
    </x:font>
    <x:font>
      <x:i/>
      <x:sz val="11"/>
      <x:color rgb="FF607080"/>
      <x:name val="Carlito"/>
    </x:font>
    <x:font>
      <x:sz val="11"/>
      <x:name val="Carlito"/>
    </x:font>
    <x:font>
      <x:sz val="8"/>
      <x:name val="Carlito"/>
    </x:font>
    <x:font>
      <x:b/>
      <x:sz val="16"/>
      <x:color rgb="FF242424"/>
      <x:name val="Carlito"/>
    </x:font>
    <x:font>
      <x:sz val="10"/>
      <x:color rgb="FF666666"/>
      <x:name val="Carlito"/>
    </x:font>
    <x:font>
      <x:sz val="11"/>
      <x:color rgb="FF242424"/>
      <x:name val="Carlito"/>
    </x:font>
    <x:font>
      <x:b/>
      <x:sz val="11"/>
      <x:color rgb="FF242424"/>
      <x:name val="Carlito"/>
    </x:font>
    <x:font>
      <x:b/>
      <x:sz val="11"/>
      <x:name val="Carlito"/>
    </x:font>
  </x:fonts>
  <x:fills count="14">
    <x:fill>
      <x:patternFill patternType="none"/>
    </x:fill>
    <x:fill>
      <x:patternFill patternType="gray125"/>
    </x:fill>
    <x:fill>
      <x:patternFill patternType="solid">
        <x:fgColor rgb="FF0B3A5E"/>
      </x:patternFill>
    </x:fill>
    <x:fill>
      <x:patternFill patternType="solid">
        <x:fgColor rgb="FFF4F8FB"/>
      </x:patternFill>
    </x:fill>
    <x:fill>
      <x:patternFill patternType="solid">
        <x:fgColor rgb="FF166088"/>
      </x:patternFill>
    </x:fill>
    <x:fill>
      <x:patternFill patternType="solid">
        <x:fgColor rgb="FFFFFFFF"/>
      </x:patternFill>
    </x:fill>
    <x:fill>
      <x:patternFill patternType="solid">
        <x:fgColor rgb="FF0B3A5E"/>
      </x:patternFill>
    </x:fill>
    <x:fill>
      <x:patternFill patternType="solid">
        <x:fgColor rgb="FFEEF3F6"/>
      </x:patternFill>
    </x:fill>
    <x:fill>
      <x:patternFill patternType="solid">
        <x:fgColor rgb="FFFFFF00"/>
      </x:patternFill>
    </x:fill>
    <x:fill>
      <x:patternFill patternType="solid">
        <x:fgColor rgb="FFFFFFFF"/>
      </x:patternFill>
    </x:fill>
    <x:fill>
      <x:patternFill patternType="solid">
        <x:fgColor rgb="FF242424"/>
      </x:patternFill>
    </x:fill>
    <x:fill>
      <x:patternFill patternType="solid">
        <x:fgColor rgb="FF166088"/>
      </x:patternFill>
    </x:fill>
    <x:fill>
      <x:patternFill patternType="solid">
        <x:fgColor rgb="FFF5F5F5"/>
      </x:patternFill>
    </x:fill>
    <x:fill>
      <x:patternFill patternType="solid">
        <x:fgColor rgb="FFEEEEEE"/>
      </x:patternFill>
    </x:fill>
  </x:fills>
  <x:borders count="5">
    <x:border>
      <x:left/>
      <x:right/>
      <x:top/>
      <x:bottom/>
      <x:diagonal/>
    </x:border>
    <x:border>
      <x:left style="thin">
        <x:color rgb="FFD7DEE5"/>
      </x:left>
      <x:right style="thin">
        <x:color rgb="FFD7DEE5"/>
      </x:right>
      <x:top style="thin">
        <x:color rgb="FFD7DEE5"/>
      </x:top>
      <x:bottom style="thin">
        <x:color rgb="FFD7DEE5"/>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style="thin">
        <x:color rgb="FF000000"/>
      </x:top>
      <x:bottom/>
      <x:diagonal/>
    </x:border>
  </x:borders>
  <x:cellStyleXfs count="2">
    <x:xf numFmtId="0" fontId="0" fillId="0" borderId="0"/>
    <x:xf numFmtId="9" fontId="10" fillId="0" borderId="0" applyFont="0" applyFill="0" applyBorder="0" applyAlignment="0" applyProtection="0"/>
  </x:cellStyleXfs>
  <x:cellXfs count="121">
    <x:xf numFmtId="0" fontId="0" fillId="0" borderId="0" xfId="0"/>
    <x:xf numFmtId="0" fontId="3" fillId="4" borderId="0" xfId="0" applyFont="1" applyFill="1" applyAlignment="1">
      <x:alignment horizontal="center" vertical="center" wrapText="1"/>
    </x:xf>
    <x:xf numFmtId="0" fontId="0" fillId="0" borderId="0" xfId="0" applyAlignment="1">
      <x:alignment vertical="top" wrapText="1"/>
    </x:xf>
    <x:xf numFmtId="3" fontId="0" fillId="0" borderId="0" xfId="0" applyNumberFormat="1" applyAlignment="1">
      <x:alignment vertical="top" wrapText="1"/>
    </x:xf>
    <x:xf numFmtId="2" fontId="0" fillId="0" borderId="0" xfId="0" applyNumberFormat="1" applyAlignment="1">
      <x:alignment vertical="top" wrapText="1"/>
    </x:xf>
    <x:xf numFmtId="4" fontId="0" fillId="0" borderId="0" xfId="0" applyNumberFormat="1" applyAlignment="1">
      <x:alignment vertical="top" wrapText="1"/>
    </x:xf>
    <x:xf numFmtId="164" fontId="0" fillId="0" borderId="0" xfId="0" applyNumberFormat="1" applyAlignment="1">
      <x:alignment vertical="top" wrapText="1"/>
    </x:xf>
    <x:xf numFmtId="165" fontId="0" fillId="0" borderId="0" xfId="0" applyNumberFormat="1" applyAlignment="1">
      <x:alignment vertical="top" wrapText="1"/>
    </x:xf>
    <x:xf numFmtId="10" fontId="0" fillId="0" borderId="0" xfId="0" applyNumberFormat="1" applyAlignment="1">
      <x:alignment vertical="top" wrapText="1"/>
    </x:xf>
    <x:xf numFmtId="0" fontId="6" fillId="0" borderId="0" xfId="0" applyFont="1"/>
    <x:xf numFmtId="3" fontId="6" fillId="0" borderId="0" xfId="0" applyNumberFormat="1" applyFont="1" applyAlignment="1">
      <x:alignment vertical="top" wrapText="1"/>
    </x:xf>
    <x:xf numFmtId="0" fontId="0" fillId="5" borderId="1" xfId="0" applyFill="1" applyBorder="1" applyAlignment="1">
      <x:alignment vertical="center" wrapText="1"/>
    </x:xf>
    <x:xf numFmtId="0" fontId="7" fillId="6" borderId="1" xfId="0" applyFont="1" applyFill="1" applyBorder="1" applyAlignment="1">
      <x:alignment horizontal="center" vertical="center" wrapText="1"/>
    </x:xf>
    <x:xf numFmtId="0" fontId="0" fillId="7" borderId="1" xfId="0" applyFill="1" applyBorder="1" applyAlignment="1">
      <x:alignment vertical="center" wrapText="1"/>
    </x:xf>
    <x:xf numFmtId="0" fontId="8" fillId="0" borderId="0" xfId="0" applyFont="1"/>
    <x:xf numFmtId="0" fontId="9" fillId="0" borderId="0" xfId="0" applyFont="1"/>
    <x:xf numFmtId="168" fontId="0" fillId="5" borderId="1" xfId="0" applyNumberFormat="1" applyFill="1" applyBorder="1" applyAlignment="1">
      <x:alignment vertical="center" wrapText="1"/>
    </x:xf>
    <x:xf numFmtId="168" fontId="0" fillId="7" borderId="1" xfId="0" applyNumberFormat="1" applyFill="1" applyBorder="1" applyAlignment="1">
      <x:alignment vertical="center" wrapText="1"/>
    </x:xf>
    <x:xf numFmtId="168" fontId="0" fillId="0" borderId="0" xfId="0" applyNumberFormat="1" applyAlignment="1">
      <x:alignment vertical="top" wrapText="1"/>
    </x:xf>
    <x:xf numFmtId="168" fontId="0" fillId="0" borderId="0" xfId="0" applyNumberFormat="1"/>
    <x:xf numFmtId="170" fontId="0" fillId="0" borderId="0" xfId="0" applyNumberFormat="1" applyAlignment="1">
      <x:alignment vertical="top" wrapText="1"/>
    </x:xf>
    <x:xf numFmtId="170" fontId="0" fillId="0" borderId="0" xfId="0" applyNumberFormat="1"/>
    <x:xf numFmtId="165" fontId="0" fillId="0" borderId="0" xfId="0" applyNumberFormat="1"/>
    <x:xf numFmtId="0" fontId="5" fillId="3" borderId="0" xfId="0" applyFont="1" applyFill="1" applyAlignment="1">
      <x:alignment horizontal="left"/>
    </x:xf>
    <x:xf numFmtId="0" fontId="0" fillId="0" borderId="0" xfId="0"/>
    <x:xf numFmtId="0" fontId="4" fillId="2" borderId="0" xfId="0" applyFont="1" applyFill="1" applyAlignment="1">
      <x:alignment horizontal="left" vertical="center"/>
    </x:xf>
    <x:xf numFmtId="0" fontId="2" fillId="3" borderId="0" xfId="0" applyFont="1" applyFill="1" applyAlignment="1">
      <x:alignment horizontal="left"/>
    </x:xf>
    <x:xf numFmtId="0" fontId="1" fillId="2" borderId="0" xfId="0" applyFont="1" applyFill="1" applyAlignment="1">
      <x:alignment horizontal="left" vertical="center"/>
    </x:xf>
    <x:xf numFmtId="0" fontId="0" fillId="0" borderId="2" xfId="0" applyBorder="1" applyAlignment="1">
      <x:alignment vertical="center"/>
    </x:xf>
    <x:xf numFmtId="171" fontId="0" fillId="0" borderId="2" xfId="0" applyNumberFormat="1" applyBorder="1" applyAlignment="1">
      <x:alignment vertical="center"/>
    </x:xf>
    <x:xf numFmtId="165" fontId="0" fillId="0" borderId="2" xfId="1" applyNumberFormat="1" applyFont="1" applyBorder="1" applyAlignment="1">
      <x:alignment vertical="center"/>
    </x:xf>
    <x:xf numFmtId="165" fontId="0" fillId="0" borderId="2" xfId="1" applyNumberFormat="1" applyFont="1" applyFill="1" applyBorder="1" applyAlignment="1">
      <x:alignment vertical="center"/>
    </x:xf>
    <x:xf numFmtId="171" fontId="0" fillId="0" borderId="4" xfId="0" applyNumberFormat="1" applyBorder="1" applyAlignment="1">
      <x:alignment vertical="center"/>
    </x:xf>
    <x:xf numFmtId="1" fontId="0" fillId="0" borderId="3" xfId="0" applyNumberFormat="1" applyBorder="1" applyAlignment="1">
      <x:alignment horizontal="center" vertical="center"/>
    </x:xf>
    <x:xf numFmtId="171" fontId="0" fillId="8" borderId="2" xfId="0" applyNumberFormat="1" applyFill="1" applyBorder="1" applyAlignment="1">
      <x:alignment vertical="center"/>
    </x:xf>
    <x:xf numFmtId="0" fontId="0" fillId="0" borderId="4" xfId="0" applyBorder="1" applyAlignment="1">
      <x:alignment vertical="center"/>
    </x:xf>
    <x:xf numFmtId="165" fontId="0" fillId="0" borderId="4" xfId="1" applyNumberFormat="1" applyFont="1" applyBorder="1" applyAlignment="1">
      <x:alignment vertical="center"/>
    </x:xf>
    <x:xf numFmtId="1" fontId="0" fillId="0" borderId="2" xfId="0" applyNumberFormat="1" applyBorder="1" applyAlignment="1">
      <x:alignment horizontal="center" vertical="center"/>
    </x:xf>
    <x:xf numFmtId="1" fontId="0" fillId="0" borderId="4" xfId="0" applyNumberFormat="1" applyBorder="1" applyAlignment="1">
      <x:alignment horizontal="center" vertical="center"/>
    </x:xf>
    <x:xf numFmtId="0" fontId="0" fillId="9" borderId="0" xfId="0" applyNumberFormat="1" applyFont="1" applyFill="1" applyBorder="1"/>
    <x:xf numFmtId="0" fontId="12"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wrapText="1"/>
    </x:xf>
    <x:xf numFmtId="0" fontId="14" fillId="0" borderId="0" xfId="0" applyNumberFormat="1" applyFont="1" applyFill="1" applyBorder="1"/>
    <x:xf numFmtId="0" fontId="14" fillId="0" borderId="0" xfId="0" applyNumberFormat="1" applyFont="1" applyFill="1" applyBorder="1" applyAlignment="1">
      <x:alignment wrapText="1"/>
    </x:xf>
    <x:xf numFmtId="0" fontId="14" fillId="0" borderId="0" xfId="0" applyNumberFormat="1" applyFont="1" applyFill="1" applyBorder="1" applyAlignment="1">
      <x:alignment vertical="center" wrapText="1"/>
    </x:xf>
    <x:xf numFmtId="0" fontId="14" fillId="10" borderId="0" xfId="0" applyNumberFormat="1" applyFont="1" applyFill="1" applyBorder="1" applyAlignment="1">
      <x:alignment vertical="center" wrapText="1"/>
    </x:xf>
    <x:xf numFmtId="0" fontId="3" fillId="10" borderId="0" xfId="0" applyNumberFormat="1" applyFont="1" applyFill="1" applyBorder="1" applyAlignment="1">
      <x:alignment vertical="center" wrapText="1"/>
    </x:xf>
    <x:xf numFmtId="0" fontId="3" fillId="10" borderId="0" xfId="0" applyNumberFormat="1" applyFont="1" applyFill="1" applyBorder="1" applyAlignment="1">
      <x:alignment horizontal="center" vertical="center" wrapText="1"/>
    </x:xf>
    <x:xf numFmtId="200" fontId="14" fillId="0" borderId="0" xfId="0" applyNumberFormat="1" applyFont="1" applyFill="1" applyBorder="1" applyAlignment="1">
      <x:alignment vertical="center" wrapText="1"/>
    </x:xf>
    <x:xf numFmtId="201" fontId="14" fillId="0" borderId="0" xfId="0" applyNumberFormat="1" applyFont="1" applyFill="1" applyBorder="1" applyAlignment="1">
      <x:alignment vertical="center" wrapText="1"/>
    </x:xf>
    <x:xf numFmtId="0" fontId="15" fillId="4" borderId="0" xfId="0" applyNumberFormat="1" applyFont="1" applyFill="1" applyBorder="1" applyAlignment="1">
      <x:alignment horizontal="center" vertical="center" wrapText="1"/>
    </x:xf>
    <x:xf numFmtId="0" fontId="14" fillId="0" borderId="0" xfId="0" applyNumberFormat="1" applyFont="1" applyFill="1" applyBorder="1" applyAlignment="1">
      <x:alignment vertical="top" wrapText="1"/>
    </x:xf>
    <x:xf numFmtId="3" fontId="14" fillId="0" borderId="0" xfId="0" applyNumberFormat="1" applyFont="1" applyFill="1" applyBorder="1" applyAlignment="1">
      <x:alignment vertical="top" wrapText="1"/>
    </x:xf>
    <x:xf numFmtId="3" fontId="14" fillId="0" borderId="0" xfId="0" applyNumberFormat="1" applyFont="1" applyFill="1" applyBorder="1" applyAlignment="1">
      <x:alignment vertical="center" wrapText="1"/>
    </x:xf>
    <x:xf numFmtId="0" fontId="15" fillId="11" borderId="0" xfId="0" applyNumberFormat="1" applyFont="1" applyFill="1" applyBorder="1" applyAlignment="1">
      <x:alignment horizontal="center" vertical="center" wrapText="1"/>
    </x:xf>
    <x:xf numFmtId="0" fontId="14" fillId="11" borderId="0" xfId="0" applyNumberFormat="1" applyFont="1" applyFill="1" applyBorder="1" applyAlignment="1">
      <x:alignment vertical="center" wrapText="1"/>
    </x:xf>
    <x:xf numFmtId="0" fontId="3" fillId="11" borderId="0" xfId="0" applyNumberFormat="1" applyFont="1" applyFill="1" applyBorder="1" applyAlignment="1">
      <x:alignment horizontal="center" vertical="center" wrapText="1"/>
    </x:xf>
    <x:xf numFmtId="0" fontId="3" fillId="11" borderId="0" xfId="0" applyNumberFormat="1" applyFont="1" applyFill="1" applyBorder="1" applyAlignment="1">
      <x:alignment vertical="center" wrapText="1"/>
    </x:xf>
    <x:xf numFmtId="202" fontId="14" fillId="0" borderId="0" xfId="0" applyNumberFormat="1" applyFont="1" applyFill="1" applyBorder="1" applyAlignment="1">
      <x:alignment vertical="center" wrapText="1"/>
    </x:xf>
    <x:xf numFmtId="203" fontId="14" fillId="0" borderId="0" xfId="0" applyNumberFormat="1" applyFont="1" applyFill="1" applyBorder="1" applyAlignment="1">
      <x:alignment vertical="center"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wrapText="1"/>
    </x:xf>
    <x:xf numFmtId="0" fontId="13" fillId="12" borderId="0" xfId="0" applyNumberFormat="1" applyFont="1" applyFill="1" applyBorder="1" applyAlignment="1">
      <x:alignment vertical="center" wrapText="1"/>
    </x:xf>
    <x:xf numFmtId="165" fontId="0" fillId="0" borderId="0" xfId="0" applyNumberFormat="1" applyFont="1" applyFill="1" applyBorder="1"/>
    <x:xf numFmtId="165" fontId="0" fillId="13" borderId="0" xfId="0" applyNumberFormat="1" applyFont="1" applyFill="1" applyBorder="1"/>
    <x:xf numFmtId="204" fontId="0" fillId="0" borderId="0" xfId="0" applyNumberFormat="1" applyFont="1" applyFill="1" applyBorder="1" applyAlignment="1">
      <x:alignment vertical="top" wrapText="1"/>
    </x:xf>
    <x:xf numFmtId="0" fontId="6" fillId="12" borderId="0" xfId="0" applyNumberFormat="1" applyFont="1" applyFill="1" applyBorder="1"/>
    <x:xf numFmtId="205" fontId="0" fillId="0" borderId="0" xfId="0" applyNumberFormat="1" applyFont="1" applyFill="1" applyBorder="1" applyAlignment="1">
      <x:alignment vertical="top" wrapText="1"/>
    </x:xf>
    <x:xf numFmtId="165" fontId="0" fillId="0" borderId="0" xfId="0" applyNumberFormat="1" applyFont="1" applyFill="1" applyBorder="1" applyAlignment="1">
      <x:alignment vertical="top" wrapText="1"/>
    </x:xf>
    <x:xf numFmtId="205" fontId="14" fillId="0" borderId="0" xfId="0" applyNumberFormat="1" applyFont="1" applyFill="1" applyBorder="1" applyAlignment="1">
      <x:alignment vertical="center" wrapText="1"/>
    </x:xf>
    <x:xf numFmtId="206" fontId="14" fillId="0" borderId="0" xfId="0" applyNumberFormat="1" applyFont="1" applyFill="1" applyBorder="1" applyAlignment="1">
      <x:alignment vertical="center" wrapText="1"/>
    </x:xf>
    <x:xf numFmtId="206" fontId="14" fillId="13" borderId="0" xfId="0" applyNumberFormat="1" applyFont="1" applyFill="1" applyBorder="1" applyAlignment="1">
      <x:alignment vertical="center" wrapText="1"/>
    </x:xf>
    <x:xf numFmtId="205" fontId="14" fillId="0" borderId="0" xfId="0" applyNumberFormat="1" applyFont="1" applyFill="1" applyBorder="1" applyAlignment="1">
      <x:alignment horizontal="center" vertical="center" wrapText="1"/>
    </x:xf>
    <x:xf numFmtId="202" fontId="14" fillId="0" borderId="0" xfId="0" applyNumberFormat="1" applyFont="1" applyFill="1" applyBorder="1" applyAlignment="1">
      <x:alignment horizontal="center" vertical="center" wrapText="1"/>
    </x:xf>
    <x:xf numFmtId="206" fontId="14" fillId="0" borderId="0" xfId="0" applyNumberFormat="1" applyFont="1" applyFill="1" applyBorder="1" applyAlignment="1">
      <x:alignment horizontal="center" vertical="center" wrapText="1"/>
    </x:xf>
    <x:xf numFmtId="206" fontId="14" fillId="13" borderId="0"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0" fillId="0" borderId="0" xfId="0" applyNumberFormat="1" applyFont="1" applyFill="1" applyBorder="1" applyAlignment="1">
      <x:alignment vertical="center" wrapText="1"/>
    </x:xf>
    <x:xf numFmtId="3" fontId="6" fillId="0" borderId="0" xfId="0" applyNumberFormat="1" applyFont="1" applyFill="1" applyBorder="1" applyAlignment="1">
      <x:alignment vertical="center" wrapText="1"/>
    </x:xf>
    <x:xf numFmtId="164" fontId="0" fillId="0" borderId="0" xfId="0" applyNumberFormat="1" applyFont="1" applyFill="1" applyBorder="1" applyAlignment="1">
      <x:alignment vertical="center" wrapText="1"/>
    </x:xf>
    <x:xf numFmtId="3"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164" fontId="0" fillId="0"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right" vertical="center" wrapText="1"/>
    </x:xf>
    <x:xf numFmtId="0" fontId="0" fillId="0" borderId="0" xfId="0" applyNumberFormat="1" applyFont="1" applyFill="1" applyBorder="1" applyAlignment="1">
      <x:alignment horizontal="right" vertical="center"/>
    </x:xf>
    <x:xf numFmtId="202" fontId="0"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06" fontId="0" fillId="0" borderId="0" xfId="0" applyNumberFormat="1" applyFont="1" applyFill="1" applyBorder="1" applyAlignment="1">
      <x:alignment horizontal="right" vertical="center" wrapText="1"/>
    </x:xf>
    <x:xf numFmtId="206" fontId="0" fillId="0" borderId="0" xfId="0" applyNumberFormat="1" applyFont="1" applyFill="1" applyBorder="1" applyAlignment="1">
      <x:alignment horizontal="right" vertical="center"/>
    </x:xf>
    <x:xf numFmtId="206" fontId="0" fillId="5" borderId="1" xfId="0" applyNumberFormat="1" applyFont="1" applyFill="1" applyBorder="1" applyAlignment="1">
      <x:alignment vertical="center" wrapText="1"/>
    </x:xf>
    <x:xf numFmtId="206" fontId="0" fillId="7" borderId="1" xfId="0" applyNumberFormat="1" applyFont="1" applyFill="1" applyBorder="1" applyAlignment="1">
      <x:alignment vertical="center" wrapText="1"/>
    </x:xf>
    <x:xf numFmtId="206" fontId="0" fillId="0" borderId="0" xfId="0" applyNumberFormat="1" applyFont="1" applyFill="1" applyBorder="1"/>
    <x:xf numFmtId="3" fontId="14" fillId="11" borderId="0" xfId="0" applyNumberFormat="1" applyFont="1" applyFill="1" applyBorder="1" applyAlignment="1">
      <x:alignment vertical="center" wrapText="1"/>
    </x:xf>
    <x:xf numFmtId="3" fontId="3" fillId="11" borderId="0" xfId="0" applyNumberFormat="1" applyFont="1" applyFill="1" applyBorder="1" applyAlignment="1">
      <x:alignment vertical="center" wrapText="1"/>
    </x:xf>
    <x:xf numFmtId="3" fontId="3" fillId="11" borderId="0" xfId="0" applyNumberFormat="1" applyFont="1" applyFill="1" applyBorder="1" applyAlignment="1">
      <x:alignment horizontal="center" vertical="center" wrapText="1"/>
    </x:xf>
    <x:xf numFmtId="202" fontId="0" fillId="0" borderId="0" xfId="0" applyNumberFormat="1" applyFont="1" applyFill="1" applyBorder="1" applyAlignment="1">
      <x:alignment vertical="top" wrapText="1"/>
    </x:xf>
    <x:xf numFmtId="202" fontId="0" fillId="0" borderId="0" xfId="0" applyNumberFormat="1" applyFont="1" applyFill="1" applyBorder="1"/>
    <x:xf numFmtId="202" fontId="3" fillId="11"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4" fontId="0" fillId="0" borderId="0" xfId="0" applyNumberFormat="1" applyFont="1" applyFill="1" applyBorder="1"/>
    <x:xf numFmtId="204" fontId="6" fillId="0" borderId="0" xfId="0" applyNumberFormat="1" applyFont="1" applyFill="1" applyBorder="1"/>
    <x:xf numFmtId="204" fontId="0" fillId="0" borderId="0" xfId="0" applyNumberFormat="1" applyFont="1" applyFill="1" applyBorder="1" applyAlignment="1">
      <x:alignment wrapText="1"/>
    </x:xf>
    <x:xf numFmtId="204" fontId="6"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2" fontId="6" fillId="0" borderId="0" xfId="0" applyNumberFormat="1" applyFont="1" applyFill="1" applyBorder="1"/>
    <x:xf numFmtId="0" fontId="16" fillId="0" borderId="0" xfId="0" applyNumberFormat="1" applyFont="1" applyFill="1" applyBorder="1"/>
    <x:xf numFmtId="202" fontId="16" fillId="0" borderId="0" xfId="0" applyNumberFormat="1" applyFont="1" applyFill="1" applyBorder="1"/>
    <x:xf numFmtId="0" fontId="16" fillId="13" borderId="0" xfId="0" applyNumberFormat="1" applyFont="1" applyFill="1" applyBorder="1"/>
    <x:xf numFmtId="202" fontId="16" fillId="13" borderId="0" xfId="0" applyNumberFormat="1" applyFont="1" applyFill="1" applyBorder="1"/>
    <x:xf numFmtId="0" fontId="3" fillId="4" borderId="0" xfId="0" applyNumberFormat="1" applyFont="1" applyFill="1" applyBorder="1" applyAlignment="1">
      <x:alignment horizontal="center" vertical="center" wrapText="1"/>
    </x:xf>
    <x:xf numFmtId="202" fontId="0" fillId="0" borderId="0" xfId="0" applyNumberFormat="1" applyFont="1" applyFill="1" applyBorder="1" applyAlignment="1">
      <x:alignment vertical="center"/>
    </x:xf>
    <x:xf numFmtId="0" fontId="16" fillId="13" borderId="0" xfId="0" applyNumberFormat="1" applyFont="1" applyFill="1" applyBorder="1" applyAlignment="1">
      <x:alignment vertical="center"/>
    </x:xf>
    <x:xf numFmtId="202" fontId="16" fillId="13" borderId="0" xfId="0" applyNumberFormat="1" applyFont="1" applyFill="1" applyBorder="1" applyAlignment="1">
      <x:alignment vertical="center"/>
    </x:xf>
  </x:cellXfs>
  <x:cellStyles count="2">
    <x:cellStyle name="Normal" xfId="0"/>
    <x:cellStyle name="Porcentaje" xfId="1"/>
  </x:cellStyles>
  <x:dxfs count="15">
    <x:dxf>
      <x:numFmt numFmtId="1" formatCode="0"/>
      <x:border>
        <x:left style="thin">
          <x:color rgb="FF000000"/>
        </x:left>
        <x:right style="thin">
          <x:color rgb="FF000000"/>
        </x:right>
        <x:top style="thin">
          <x:color rgb="FF000000"/>
        </x:top>
        <x:bottom style="thin">
          <x:color rgb="FF000000"/>
        </x:bottom>
      </x:border>
    </x:dxf>
    <x:dxf>
      <x:border>
        <x:left style="thin">
          <x:color rgb="FF000000"/>
        </x:left>
      </x:border>
    </x:dxf>
    <x:dxf>
      <x:font>
        <x:u val="none"/>
        <x:sz val="11"/>
        <x:color auto="1"/>
        <x:name val="Carlito"/>
        <x:scheme val="none"/>
      </x:font>
      <x:numFmt numFmtId="165" formatCode="0.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
      <x:numFmt numFmtId="171" formatCode="&quot;$&quot;\ #,##0"/>
      <x:border>
        <x:left style="thin">
          <x:color rgb="FF000000"/>
        </x:left>
        <x:right style="thin">
          <x:color rgb="FF000000"/>
        </x:right>
        <x:top style="thin">
          <x:color rgb="FF000000"/>
        </x:top>
        <x:bottom style="thin">
          <x:color rgb="FF000000"/>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260cf0c8ba74ed5" /><Relationship Type="http://schemas.openxmlformats.org/officeDocument/2006/relationships/theme" Target="/xl/theme/theme1.xml" Id="R2eededc78b33442b" /><Relationship Type="http://schemas.openxmlformats.org/officeDocument/2006/relationships/sharedStrings" Target="/xl/sharedStrings.xml" Id="Rff38b6e0733543c4" /><Relationship Type="http://schemas.openxmlformats.org/officeDocument/2006/relationships/worksheet" Target="/xl/worksheets/sheet1.xml" Id="R30387ed91b61473a" /><Relationship Type="http://schemas.openxmlformats.org/officeDocument/2006/relationships/worksheet" Target="/xl/worksheets/sheet2.xml" Id="R608f491d40cc44cd" /><Relationship Type="http://schemas.openxmlformats.org/officeDocument/2006/relationships/worksheet" Target="/xl/worksheets/sheet3.xml" Id="Rbb1d0999c6b646a9" /><Relationship Type="http://schemas.openxmlformats.org/officeDocument/2006/relationships/worksheet" Target="/xl/worksheets/sheet4.xml" Id="R2f308527f5354871" /><Relationship Type="http://schemas.openxmlformats.org/officeDocument/2006/relationships/worksheet" Target="/xl/worksheets/sheet5.xml" Id="R531dc40270534276" /><Relationship Type="http://schemas.openxmlformats.org/officeDocument/2006/relationships/worksheet" Target="/xl/worksheets/sheet6.xml" Id="R08f452462e3c4ed8" /><Relationship Type="http://schemas.openxmlformats.org/officeDocument/2006/relationships/worksheet" Target="/xl/worksheets/sheet7.xml" Id="Rb586434428bc4beb" /><Relationship Type="http://schemas.openxmlformats.org/officeDocument/2006/relationships/worksheet" Target="/xl/worksheets/sheet8.xml" Id="R08b3da0258bf42e1" /><Relationship Type="http://schemas.openxmlformats.org/officeDocument/2006/relationships/worksheet" Target="/xl/worksheets/sheet9.xml" Id="R75c0d599d0154766" /><Relationship Type="http://schemas.openxmlformats.org/officeDocument/2006/relationships/worksheet" Target="/xl/worksheets/sheet10.xml" Id="R27d9ab0a64104aac" /><Relationship Type="http://schemas.openxmlformats.org/officeDocument/2006/relationships/worksheet" Target="/xl/worksheets/sheet11.xml" Id="R789c96ce5cf94b6d" /><Relationship Type="http://schemas.openxmlformats.org/officeDocument/2006/relationships/worksheet" Target="/xl/worksheets/sheet12.xml" Id="R3fa417e16f2243db" /><Relationship Type="http://schemas.openxmlformats.org/officeDocument/2006/relationships/worksheet" Target="/xl/worksheets/sheet13.xml" Id="R80bc3a81c5c44a00" /><Relationship Type="http://schemas.openxmlformats.org/officeDocument/2006/relationships/worksheet" Target="/xl/worksheets/sheet14.xml" Id="Ra611619cf4614bbb" /><Relationship Type="http://schemas.openxmlformats.org/officeDocument/2006/relationships/worksheet" Target="/xl/worksheets/sheet15.xml" Id="Rbb06b9e2964c48c8" /><Relationship Type="http://schemas.openxmlformats.org/officeDocument/2006/relationships/worksheet" Target="/xl/worksheets/sheet16.xml" Id="R4297fa11e9e841f3" /><Relationship Type="http://schemas.openxmlformats.org/officeDocument/2006/relationships/worksheet" Target="/xl/worksheets/sheet17.xml" Id="Rdd73c38903f14113" /><Relationship Type="http://schemas.openxmlformats.org/officeDocument/2006/relationships/worksheet" Target="/xl/worksheets/sheet18.xml" Id="R175cae4e579944a2" /><Relationship Type="http://schemas.openxmlformats.org/officeDocument/2006/relationships/worksheet" Target="/xl/worksheets/sheet19.xml" Id="Rccfa94498a1a42e8" /><Relationship Type="http://schemas.openxmlformats.org/officeDocument/2006/relationships/worksheet" Target="/xl/worksheets/sheet20.xml" Id="Ra1e953bcafcc4c7a" /><Relationship Type="http://schemas.openxmlformats.org/officeDocument/2006/relationships/worksheet" Target="/xl/worksheets/sheet21.xml" Id="R631aab2f57e04528" /><Relationship Type="http://schemas.openxmlformats.org/officeDocument/2006/relationships/worksheet" Target="/xl/worksheets/sheet22.xml" Id="R653b4a7bae984b67" /><Relationship Type="http://schemas.openxmlformats.org/officeDocument/2006/relationships/worksheet" Target="/xl/worksheets/sheet23.xml" Id="Rcf0f471a9b90459d" /><Relationship Type="http://schemas.openxmlformats.org/officeDocument/2006/relationships/worksheet" Target="/xl/worksheets/sheet24.xml" Id="R8b68fe482bf34e89" /><Relationship Type="http://schemas.openxmlformats.org/officeDocument/2006/relationships/worksheet" Target="/xl/worksheets/sheet25.xml" Id="R8f612ec27bf04b41" /><Relationship Type="http://schemas.openxmlformats.org/officeDocument/2006/relationships/worksheet" Target="/xl/worksheets/sheet26.xml" Id="R3b774d16e67f44cb" /><Relationship Type="http://schemas.openxmlformats.org/officeDocument/2006/relationships/worksheet" Target="/xl/worksheets/sheet27.xml" Id="Rb71c03b80d08406d" /><Relationship Type="http://schemas.openxmlformats.org/officeDocument/2006/relationships/worksheet" Target="/xl/worksheets/sheet28.xml" Id="R582e149f809a47c7" /><Relationship Type="http://schemas.openxmlformats.org/officeDocument/2006/relationships/worksheet" Target="/xl/worksheets/sheet29.xml" Id="R34fcc2533467438c" /><Relationship Type="http://schemas.openxmlformats.org/officeDocument/2006/relationships/worksheet" Target="/xl/worksheets/sheet30.xml" Id="R39d59f595eb140ca" /><Relationship Type="http://schemas.openxmlformats.org/officeDocument/2006/relationships/worksheet" Target="/xl/worksheets/sheet31.xml" Id="R544f02f60411417f" /><Relationship Type="http://schemas.openxmlformats.org/officeDocument/2006/relationships/worksheet" Target="/xl/worksheets/sheet32.xml" Id="R58d210a1db2c4598" /><Relationship Type="http://schemas.openxmlformats.org/officeDocument/2006/relationships/worksheet" Target="/xl/worksheets/sheet33.xml" Id="R35c8803dd1ff4d24" /><Relationship Type="http://schemas.openxmlformats.org/officeDocument/2006/relationships/worksheet" Target="/xl/worksheets/sheet34.xml" Id="R4716d75ca6f142ff" /></Relationships>
</file>

<file path=xl/drawings/_rels/drawing1.xml.rels>&#65279;<?xml version="1.0" encoding="utf-8"?><Relationships xmlns="http://schemas.openxmlformats.org/package/2006/relationships"><Relationship Type="http://schemas.openxmlformats.org/officeDocument/2006/relationships/chart" Target="/xl/drawings/charts/chart1.xml" Id="R393d36ed277e47f0" /><Relationship Type="http://schemas.openxmlformats.org/officeDocument/2006/relationships/chart" Target="/xl/drawings/charts/chart2.xml" Id="R3ea109ff794c4d56" /><Relationship Type="http://schemas.openxmlformats.org/officeDocument/2006/relationships/chart" Target="/xl/drawings/charts/chart3.xml" Id="R33a1b9c614254744" /><Relationship Type="http://schemas.openxmlformats.org/officeDocument/2006/relationships/chart" Target="/xl/drawings/charts/chart4.xml" Id="Rcdd84858314648fa" /></Relationships>
</file>

<file path=xl/drawings/_rels/drawing2.xml.rels>&#65279;<?xml version="1.0" encoding="utf-8"?><Relationships xmlns="http://schemas.openxmlformats.org/package/2006/relationships"><Relationship Type="http://schemas.openxmlformats.org/officeDocument/2006/relationships/chart" Target="/xl/drawings/charts/chart5.xml" Id="Ra6afa396f70b45da" /></Relationships>
</file>

<file path=xl/drawings/_rels/drawing3.xml.rels>&#65279;<?xml version="1.0" encoding="utf-8"?><Relationships xmlns="http://schemas.openxmlformats.org/package/2006/relationships"><Relationship Type="http://schemas.openxmlformats.org/officeDocument/2006/relationships/chart" Target="/xl/drawings/charts/chart6.xml" Id="R3a89a433f34d497e" /></Relationships>
</file>

<file path=xl/drawings/_rels/drawing4.xml.rels>&#65279;<?xml version="1.0" encoding="utf-8"?><Relationships xmlns="http://schemas.openxmlformats.org/package/2006/relationships"><Relationship Type="http://schemas.openxmlformats.org/officeDocument/2006/relationships/chart" Target="/xl/drawings/charts/chart7.xml" Id="R4ff958afd5644fcf" /></Relationships>
</file>

<file path=xl/drawings/_rels/drawing5.xml.rels>&#65279;<?xml version="1.0" encoding="utf-8"?><Relationships xmlns="http://schemas.openxmlformats.org/package/2006/relationships"><Relationship Type="http://schemas.openxmlformats.org/officeDocument/2006/relationships/chart" Target="/xl/drawings/charts/chart8.xml" Id="R34fc0c8f7d154277" /></Relationships>
</file>

<file path=xl/drawings/_rels/drawing6.xml.rels>&#65279;<?xml version="1.0" encoding="utf-8"?><Relationships xmlns="http://schemas.openxmlformats.org/package/2006/relationships"><Relationship Type="http://schemas.openxmlformats.org/officeDocument/2006/relationships/chart" Target="/xl/drawings/charts/chart9.xml" Id="R2468d143d576401f" /></Relationships>
</file>

<file path=xl/drawings/_rels/drawing7.xml.rels>&#65279;<?xml version="1.0" encoding="utf-8"?><Relationships xmlns="http://schemas.openxmlformats.org/package/2006/relationships"><Relationship Type="http://schemas.openxmlformats.org/officeDocument/2006/relationships/chart" Target="/xl/drawings/charts/chart10.xml" Id="R031fb5ac8a0d4c24" /></Relationships>
</file>

<file path=xl/drawings/_rels/drawing8.xml.rels>&#65279;<?xml version="1.0" encoding="utf-8"?><Relationships xmlns="http://schemas.openxmlformats.org/package/2006/relationships"><Relationship Type="http://schemas.openxmlformats.org/officeDocument/2006/relationships/chart" Target="/xl/drawings/charts/chart11.xml" Id="R7942d7fa091b4212" /></Relationships>
</file>

<file path=xl/drawings/_rels/drawing9.xml.rels>&#65279;<?xml version="1.0" encoding="utf-8"?><Relationships xmlns="http://schemas.openxmlformats.org/package/2006/relationships"><Relationship Type="http://schemas.openxmlformats.org/officeDocument/2006/relationships/chart" Target="/xl/drawings/charts/chart12.xml" Id="R1d163a9f7f8242f5" /></Relationships>
</file>

<file path=xl/drawings/_rels/drawing10.xml.rels>&#65279;<?xml version="1.0" encoding="utf-8"?><Relationships xmlns="http://schemas.openxmlformats.org/package/2006/relationships"><Relationship Type="http://schemas.openxmlformats.org/officeDocument/2006/relationships/chart" Target="/xl/drawings/charts/chart13.xml" Id="R2f1d5a5aeb7c4f4e" /></Relationships>
</file>

<file path=xl/drawings/charts/chart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Pacientes por periodo</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dPt>
            <c:idx val="3"/>
            <c:invertIfNegative val="0"/>
            <c:spPr>
              <a:solidFill xmlns:a="http://schemas.openxmlformats.org/drawingml/2006/main">
                <a:srgbClr val="118C5B"/>
              </a:solidFill>
              <a:ln xmlns:a="http://schemas.openxmlformats.org/drawingml/2006/main">
                <a:solidFill>
                  <a:srgbClr val="118C5B"/>
                </a:solidFill>
              </a:ln>
            </c:spPr>
          </c:dPt>
          <c:cat>
            <c:strRef>
              <c:f>'03_Dashboard_Ejecutivo'!$A$13:$A$16</c:f>
              <c:strCache>
                <c:ptCount val="4"/>
                <c:pt idx="0">
                  <c:v>2023 (nov-dic)</c:v>
                </c:pt>
                <c:pt idx="1">
                  <c:v>2024</c:v>
                </c:pt>
                <c:pt idx="2">
                  <c:v>2025</c:v>
                </c:pt>
                <c:pt idx="3">
                  <c:v>2026 (ene-jun)</c:v>
                </c:pt>
              </c:strCache>
            </c:strRef>
          </c:cat>
          <c:val>
            <c:numRef>
              <c:f>'03_Dashboard_Ejecutivo'!$B$13:$B$16</c:f>
              <c:numCache>
                <c:formatCode>#,##0</c:formatCode>
                <c:ptCount val="4"/>
                <c:pt idx="0">
                  <c:v>13131</c:v>
                </c:pt>
                <c:pt idx="1">
                  <c:v>39624</c:v>
                </c:pt>
                <c:pt idx="2">
                  <c:v>33630</c:v>
                </c:pt>
                <c:pt idx="3">
                  <c:v>11198</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Top servicios por actividades</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dPt>
            <c:idx val="3"/>
            <c:invertIfNegative val="0"/>
            <c:spPr>
              <a:solidFill xmlns:a="http://schemas.openxmlformats.org/drawingml/2006/main">
                <a:srgbClr val="118C5B"/>
              </a:solidFill>
              <a:ln xmlns:a="http://schemas.openxmlformats.org/drawingml/2006/main">
                <a:solidFill>
                  <a:srgbClr val="118C5B"/>
                </a:solidFill>
              </a:ln>
            </c:spPr>
          </c:dPt>
          <c:dPt>
            <c:idx val="4"/>
            <c:invertIfNegative val="0"/>
            <c:spPr>
              <a:solidFill xmlns:a="http://schemas.openxmlformats.org/drawingml/2006/main">
                <a:srgbClr val="8FBE00"/>
              </a:solidFill>
              <a:ln xmlns:a="http://schemas.openxmlformats.org/drawingml/2006/main">
                <a:solidFill>
                  <a:srgbClr val="8FBE00"/>
                </a:solidFill>
              </a:ln>
            </c:spPr>
          </c:dPt>
          <c:cat>
            <c:strRef>
              <c:f>'03_Dashboard_Ejecutivo'!$D$13:$D$17</c:f>
              <c:strCache>
                <c:ptCount val="5"/>
                <c:pt idx="0">
                  <c:v>Medicamentos</c:v>
                </c:pt>
                <c:pt idx="1">
                  <c:v>Laboratorio clínico</c:v>
                </c:pt>
                <c:pt idx="2">
                  <c:v>Urgencias</c:v>
                </c:pt>
                <c:pt idx="3">
                  <c:v>Imagenología</c:v>
                </c:pt>
                <c:pt idx="4">
                  <c:v>Consulta externa</c:v>
                </c:pt>
              </c:strCache>
            </c:strRef>
          </c:cat>
          <c:val>
            <c:numRef>
              <c:f>'03_Dashboard_Ejecutivo'!$E$13:$E$17</c:f>
              <c:numCache>
                <c:formatCode>#,##0</c:formatCode>
                <c:ptCount val="5"/>
                <c:pt idx="0">
                  <c:v>368480</c:v>
                </c:pt>
                <c:pt idx="1">
                  <c:v>132756</c:v>
                </c:pt>
                <c:pt idx="2">
                  <c:v>123591</c:v>
                </c:pt>
                <c:pt idx="3">
                  <c:v>52014</c:v>
                </c:pt>
                <c:pt idx="4">
                  <c:v>30807</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Top EPS por glosas</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dPt>
            <c:idx val="3"/>
            <c:invertIfNegative val="0"/>
            <c:spPr>
              <a:solidFill xmlns:a="http://schemas.openxmlformats.org/drawingml/2006/main">
                <a:srgbClr val="118C5B"/>
              </a:solidFill>
              <a:ln xmlns:a="http://schemas.openxmlformats.org/drawingml/2006/main">
                <a:solidFill>
                  <a:srgbClr val="118C5B"/>
                </a:solidFill>
              </a:ln>
            </c:spPr>
          </c:dPt>
          <c:dPt>
            <c:idx val="4"/>
            <c:invertIfNegative val="0"/>
            <c:spPr>
              <a:solidFill xmlns:a="http://schemas.openxmlformats.org/drawingml/2006/main">
                <a:srgbClr val="8FBE00"/>
              </a:solidFill>
              <a:ln xmlns:a="http://schemas.openxmlformats.org/drawingml/2006/main">
                <a:solidFill>
                  <a:srgbClr val="8FBE00"/>
                </a:solidFill>
              </a:ln>
            </c:spPr>
          </c:dPt>
          <c:cat>
            <c:strRef>
              <c:f>'03_Dashboard_Ejecutivo'!$H$13:$H$17</c:f>
              <c:strCache>
                <c:ptCount val="5"/>
                <c:pt idx="0">
                  <c:v>Salud Total</c:v>
                </c:pt>
                <c:pt idx="1">
                  <c:v>Sanitas</c:v>
                </c:pt>
                <c:pt idx="2">
                  <c:v>AIC</c:v>
                </c:pt>
                <c:pt idx="3">
                  <c:v>Asmet Salud</c:v>
                </c:pt>
                <c:pt idx="4">
                  <c:v>Compensar</c:v>
                </c:pt>
              </c:strCache>
            </c:strRef>
          </c:cat>
          <c:val>
            <c:numRef>
              <c:f>'03_Dashboard_Ejecutivo'!$I$13:$I$17</c:f>
              <c:numCache>
                <c:formatCode>#,##0</c:formatCode>
                <c:ptCount val="5"/>
                <c:pt idx="0">
                  <c:v>665</c:v>
                </c:pt>
                <c:pt idx="1">
                  <c:v>89</c:v>
                </c:pt>
                <c:pt idx="2">
                  <c:v>47</c:v>
                </c:pt>
                <c:pt idx="3">
                  <c:v>5</c:v>
                </c:pt>
                <c:pt idx="4">
                  <c:v>2</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Puntaje de escenarios</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cat>
            <c:strRef>
              <c:f>'03_Dashboard_Ejecutivo'!$E$5:$E$7</c:f>
              <c:strCache>
                <c:ptCount val="3"/>
                <c:pt idx="0">
                  <c:v>Continuidad optimizada</c:v>
                </c:pt>
                <c:pt idx="1">
                  <c:v>Tercerización condicionada</c:v>
                </c:pt>
                <c:pt idx="2">
                  <c:v>Cierre / reconversión</c:v>
                </c:pt>
              </c:strCache>
            </c:strRef>
          </c:cat>
          <c:val>
            <c:numRef>
              <c:f>'03_Dashboard_Ejecutivo'!$F$5:$F$7</c:f>
              <c:numCache>
                <c:formatCode>0.00</c:formatCode>
                <c:ptCount val="3"/>
                <c:pt idx="0">
                  <c:v>3.82</c:v>
                </c:pt>
                <c:pt idx="1">
                  <c:v>3.91</c:v>
                </c:pt>
                <c:pt idx="2">
                  <c:v>2.54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Pacientes reportados por periodo</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dPt>
            <c:idx val="3"/>
            <c:invertIfNegative val="0"/>
            <c:spPr>
              <a:solidFill xmlns:a="http://schemas.openxmlformats.org/drawingml/2006/main">
                <a:srgbClr val="118C5B"/>
              </a:solidFill>
              <a:ln xmlns:a="http://schemas.openxmlformats.org/drawingml/2006/main">
                <a:solidFill>
                  <a:srgbClr val="118C5B"/>
                </a:solidFill>
              </a:ln>
            </c:spPr>
          </c:dPt>
          <c:cat>
            <c:strRef>
              <c:f>'07_Pacientes'!$A$5:$A$8</c:f>
              <c:strCache>
                <c:ptCount val="4"/>
                <c:pt idx="0">
                  <c:v>2023 (nov-dic)</c:v>
                </c:pt>
                <c:pt idx="1">
                  <c:v>2024</c:v>
                </c:pt>
                <c:pt idx="2">
                  <c:v>2025</c:v>
                </c:pt>
                <c:pt idx="3">
                  <c:v>2026 (ene-jun)</c:v>
                </c:pt>
              </c:strCache>
            </c:strRef>
          </c:cat>
          <c:val>
            <c:numRef>
              <c:f>'07_Pacientes'!$B$5:$B$8</c:f>
              <c:numCache>
                <c:formatCode>#,##0</c:formatCode>
                <c:ptCount val="4"/>
                <c:pt idx="0">
                  <c:v>13131</c:v>
                </c:pt>
                <c:pt idx="1">
                  <c:v>39624</c:v>
                </c:pt>
                <c:pt idx="2">
                  <c:v>33630</c:v>
                </c:pt>
                <c:pt idx="3">
                  <c:v>11198</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Producción por grupo de atención</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dPt>
            <c:idx val="3"/>
            <c:invertIfNegative val="0"/>
            <c:spPr>
              <a:solidFill xmlns:a="http://schemas.openxmlformats.org/drawingml/2006/main">
                <a:srgbClr val="118C5B"/>
              </a:solidFill>
              <a:ln xmlns:a="http://schemas.openxmlformats.org/drawingml/2006/main">
                <a:solidFill>
                  <a:srgbClr val="118C5B"/>
                </a:solidFill>
              </a:ln>
            </c:spPr>
          </c:dPt>
          <c:dPt>
            <c:idx val="4"/>
            <c:invertIfNegative val="0"/>
            <c:spPr>
              <a:solidFill xmlns:a="http://schemas.openxmlformats.org/drawingml/2006/main">
                <a:srgbClr val="8FBE00"/>
              </a:solidFill>
              <a:ln xmlns:a="http://schemas.openxmlformats.org/drawingml/2006/main">
                <a:solidFill>
                  <a:srgbClr val="8FBE00"/>
                </a:solidFill>
              </a:ln>
            </c:spPr>
          </c:dPt>
          <c:dPt>
            <c:idx val="5"/>
            <c:invertIfNegative val="0"/>
            <c:spPr>
              <a:solidFill xmlns:a="http://schemas.openxmlformats.org/drawingml/2006/main">
                <a:srgbClr val="E4A000"/>
              </a:solidFill>
              <a:ln xmlns:a="http://schemas.openxmlformats.org/drawingml/2006/main">
                <a:solidFill>
                  <a:srgbClr val="E4A000"/>
                </a:solidFill>
              </a:ln>
            </c:spPr>
          </c:dPt>
          <c:dPt>
            <c:idx val="6"/>
            <c:invertIfNegative val="0"/>
            <c:spPr>
              <a:solidFill xmlns:a="http://schemas.openxmlformats.org/drawingml/2006/main">
                <a:srgbClr val="F07020"/>
              </a:solidFill>
              <a:ln xmlns:a="http://schemas.openxmlformats.org/drawingml/2006/main">
                <a:solidFill>
                  <a:srgbClr val="F07020"/>
                </a:solidFill>
              </a:ln>
            </c:spPr>
          </c:dPt>
          <c:dPt>
            <c:idx val="7"/>
            <c:invertIfNegative val="0"/>
            <c:spPr>
              <a:solidFill xmlns:a="http://schemas.openxmlformats.org/drawingml/2006/main">
                <a:srgbClr val="D33F49"/>
              </a:solidFill>
              <a:ln xmlns:a="http://schemas.openxmlformats.org/drawingml/2006/main">
                <a:solidFill>
                  <a:srgbClr val="D33F49"/>
                </a:solidFill>
              </a:ln>
            </c:spPr>
          </c:dPt>
          <c:dPt>
            <c:idx val="8"/>
            <c:invertIfNegative val="0"/>
            <c:spPr>
              <a:solidFill xmlns:a="http://schemas.openxmlformats.org/drawingml/2006/main">
                <a:srgbClr val="A13CC1"/>
              </a:solidFill>
              <a:ln xmlns:a="http://schemas.openxmlformats.org/drawingml/2006/main">
                <a:solidFill>
                  <a:srgbClr val="A13CC1"/>
                </a:solidFill>
              </a:ln>
            </c:spPr>
          </c:dPt>
          <c:dPt>
            <c:idx val="9"/>
            <c:invertIfNegative val="0"/>
            <c:spPr>
              <a:solidFill xmlns:a="http://schemas.openxmlformats.org/drawingml/2006/main">
                <a:srgbClr val="6C5CE7"/>
              </a:solidFill>
              <a:ln xmlns:a="http://schemas.openxmlformats.org/drawingml/2006/main">
                <a:solidFill>
                  <a:srgbClr val="6C5CE7"/>
                </a:solidFill>
              </a:ln>
            </c:spPr>
          </c:dPt>
          <c:cat>
            <c:strRef>
              <c:f>'08_Produccion_servicios'!$A$5:$A$14</c:f>
              <c:strCache>
                <c:ptCount val="10"/>
                <c:pt idx="0">
                  <c:v>Medicamentos</c:v>
                </c:pt>
                <c:pt idx="1">
                  <c:v>Laboratorio clínico</c:v>
                </c:pt>
                <c:pt idx="2">
                  <c:v>Urgencias</c:v>
                </c:pt>
                <c:pt idx="3">
                  <c:v>Imagenología</c:v>
                </c:pt>
                <c:pt idx="4">
                  <c:v>Consulta externa</c:v>
                </c:pt>
                <c:pt idx="5">
                  <c:v>Promoción y prevención</c:v>
                </c:pt>
                <c:pt idx="6">
                  <c:v>Ambulancia</c:v>
                </c:pt>
                <c:pt idx="7">
                  <c:v>Hospitalización</c:v>
                </c:pt>
                <c:pt idx="8">
                  <c:v>Observación</c:v>
                </c:pt>
                <c:pt idx="9">
                  <c:v>Otros</c:v>
                </c:pt>
              </c:strCache>
            </c:strRef>
          </c:cat>
          <c:val>
            <c:numRef>
              <c:f>'08_Produccion_servicios'!$B$5:$B$14</c:f>
              <c:numCache>
                <c:formatCode>#,##0</c:formatCode>
                <c:ptCount val="10"/>
                <c:pt idx="0">
                  <c:v>368480</c:v>
                </c:pt>
                <c:pt idx="1">
                  <c:v>132756</c:v>
                </c:pt>
                <c:pt idx="2">
                  <c:v>123591</c:v>
                </c:pt>
                <c:pt idx="3">
                  <c:v>52014</c:v>
                </c:pt>
                <c:pt idx="4">
                  <c:v>30807</c:v>
                </c:pt>
                <c:pt idx="5">
                  <c:v>9777</c:v>
                </c:pt>
                <c:pt idx="6">
                  <c:v>4698</c:v>
                </c:pt>
                <c:pt idx="7">
                  <c:v>4456</c:v>
                </c:pt>
                <c:pt idx="8">
                  <c:v>3627</c:v>
                </c:pt>
                <c:pt idx="9">
                  <c:v>95</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Tendencia mensual agregada de actividades</a:t>
            </a:r>
          </a:p>
        </c:rich>
      </c:tx>
      <c:overlay val="1"/>
    </c:title>
    <c:autoTitleDeleted val="0"/>
    <c:plotArea>
      <c:lineChart>
        <c:grouping val="standard"/>
        <c:varyColors val="1"/>
        <c:ser>
          <c:idx val="0"/>
          <c:order val="0"/>
          <c:spPr>
            <a:solidFill xmlns:a="http://schemas.openxmlformats.org/drawingml/2006/main">
              <a:srgbClr val="0B4FD8"/>
            </a:solidFill>
            <a:ln xmlns:a="http://schemas.openxmlformats.org/drawingml/2006/main">
              <a:solidFill>
                <a:srgbClr val="0B4FD8"/>
              </a:solidFill>
            </a:ln>
          </c:spPr>
          <c:marker>
            <c:symbol val="none"/>
          </c:marker>
          <c:cat>
            <c:strRef>
              <c:f>'09_Tendencia_mensual'!$A$5:$A$16</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'09_Tendencia_mensual'!$B$5:$B$16</c:f>
              <c:numCache>
                <c:formatCode>#,##0</c:formatCode>
                <c:ptCount val="12"/>
                <c:pt idx="0">
                  <c:v>72983</c:v>
                </c:pt>
                <c:pt idx="1">
                  <c:v>68043</c:v>
                </c:pt>
                <c:pt idx="2">
                  <c:v>77125</c:v>
                </c:pt>
                <c:pt idx="3">
                  <c:v>74681</c:v>
                </c:pt>
                <c:pt idx="4">
                  <c:v>81690</c:v>
                </c:pt>
                <c:pt idx="5">
                  <c:v>72665</c:v>
                </c:pt>
                <c:pt idx="6">
                  <c:v>49161</c:v>
                </c:pt>
                <c:pt idx="7">
                  <c:v>38676</c:v>
                </c:pt>
                <c:pt idx="8">
                  <c:v>53276</c:v>
                </c:pt>
                <c:pt idx="9">
                  <c:v>49424</c:v>
                </c:pt>
                <c:pt idx="10">
                  <c:v>42716</c:v>
                </c:pt>
                <c:pt idx="11">
                  <c:v>49861</c:v>
                </c:pt>
              </c:numCache>
            </c:numRef>
          </c:val>
          <c:smooth val="1"/>
        </c:ser>
        <c:dLbls>
          <c:showLegendKey val="0"/>
          <c:showVal val="0"/>
          <c:showCatName val="0"/>
          <c:showSerName val="0"/>
          <c:showPercent val="0"/>
          <c:showBubbleSize val="0"/>
          <c:showLeaderLines val="0"/>
        </c:dLbls>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Costos reportados del CAIMI</a:t>
            </a:r>
          </a:p>
        </c:rich>
      </c:tx>
      <c:overlay val="1"/>
    </c:title>
    <c:autoTitleDeleted val="0"/>
    <c:plotArea>
      <c:barChart>
        <c:barDir val="col"/>
        <c:grouping val="clustered"/>
        <c:varyColors val="0"/>
        <c:ser>
          <c:idx val="0"/>
          <c:order val="0"/>
          <c:spPr>
            <a:solidFill xmlns:a="http://schemas.openxmlformats.org/drawingml/2006/main">
              <a:srgbClr val="E4A000"/>
            </a:solidFill>
            <a:ln xmlns:a="http://schemas.openxmlformats.org/drawingml/2006/main">
              <a:solidFill>
                <a:srgbClr val="E4A000"/>
              </a:solidFill>
            </a:ln>
          </c:spPr>
          <c:invertIfNegative val="1"/>
          <c:cat>
            <c:strRef>
              <c:f>'12_Costos_CAIMI'!$A$5:$A$8</c:f>
              <c:strCache>
                <c:ptCount val="4"/>
                <c:pt idx="0">
                  <c:v>2023</c:v>
                </c:pt>
                <c:pt idx="1">
                  <c:v>2024</c:v>
                </c:pt>
                <c:pt idx="2">
                  <c:v>2025</c:v>
                </c:pt>
                <c:pt idx="3">
                  <c:v>2026 - primer semestre</c:v>
                </c:pt>
              </c:strCache>
            </c:strRef>
          </c:cat>
          <c:val>
            <c:numRef>
              <c:f>'12_Costos_CAIMI'!$B$5:$B$8</c:f>
              <c:numCache>
                <c:formatCode>#,##0.00;[Red]\(#,##0.00\);\-</c:formatCode>
                <c:ptCount val="4"/>
                <c:pt idx="0">
                  <c:v>280816103.82</c:v>
                </c:pt>
                <c:pt idx="1">
                  <c:v>10656217666.73</c:v>
                </c:pt>
                <c:pt idx="2">
                  <c:v>9828115932.47</c:v>
                </c:pt>
                <c:pt idx="3">
                  <c:v>5250296535.41</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Glosas por EPS</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dPt>
            <c:idx val="0"/>
            <c:invertIfNegative val="0"/>
            <c:spPr>
              <a:solidFill xmlns:a="http://schemas.openxmlformats.org/drawingml/2006/main">
                <a:srgbClr val="0B4FD8"/>
              </a:solidFill>
              <a:ln xmlns:a="http://schemas.openxmlformats.org/drawingml/2006/main">
                <a:solidFill>
                  <a:srgbClr val="0B4FD8"/>
                </a:solidFill>
              </a:ln>
            </c:spPr>
          </c:dPt>
          <c:dPt>
            <c:idx val="1"/>
            <c:invertIfNegative val="0"/>
            <c:spPr>
              <a:solidFill xmlns:a="http://schemas.openxmlformats.org/drawingml/2006/main">
                <a:srgbClr val="00A6D6"/>
              </a:solidFill>
              <a:ln xmlns:a="http://schemas.openxmlformats.org/drawingml/2006/main">
                <a:solidFill>
                  <a:srgbClr val="00A6D6"/>
                </a:solidFill>
              </a:ln>
            </c:spPr>
          </c:dPt>
          <c:dPt>
            <c:idx val="2"/>
            <c:invertIfNegative val="0"/>
            <c:spPr>
              <a:solidFill xmlns:a="http://schemas.openxmlformats.org/drawingml/2006/main">
                <a:srgbClr val="00B8A9"/>
              </a:solidFill>
              <a:ln xmlns:a="http://schemas.openxmlformats.org/drawingml/2006/main">
                <a:solidFill>
                  <a:srgbClr val="00B8A9"/>
                </a:solidFill>
              </a:ln>
            </c:spPr>
          </c:dPt>
          <c:dPt>
            <c:idx val="3"/>
            <c:invertIfNegative val="0"/>
            <c:spPr>
              <a:solidFill xmlns:a="http://schemas.openxmlformats.org/drawingml/2006/main">
                <a:srgbClr val="118C5B"/>
              </a:solidFill>
              <a:ln xmlns:a="http://schemas.openxmlformats.org/drawingml/2006/main">
                <a:solidFill>
                  <a:srgbClr val="118C5B"/>
                </a:solidFill>
              </a:ln>
            </c:spPr>
          </c:dPt>
          <c:dPt>
            <c:idx val="4"/>
            <c:invertIfNegative val="0"/>
            <c:spPr>
              <a:solidFill xmlns:a="http://schemas.openxmlformats.org/drawingml/2006/main">
                <a:srgbClr val="8FBE00"/>
              </a:solidFill>
              <a:ln xmlns:a="http://schemas.openxmlformats.org/drawingml/2006/main">
                <a:solidFill>
                  <a:srgbClr val="8FBE00"/>
                </a:solidFill>
              </a:ln>
            </c:spPr>
          </c:dPt>
          <c:dPt>
            <c:idx val="5"/>
            <c:invertIfNegative val="0"/>
            <c:spPr>
              <a:solidFill xmlns:a="http://schemas.openxmlformats.org/drawingml/2006/main">
                <a:srgbClr val="E4A000"/>
              </a:solidFill>
              <a:ln xmlns:a="http://schemas.openxmlformats.org/drawingml/2006/main">
                <a:solidFill>
                  <a:srgbClr val="E4A000"/>
                </a:solidFill>
              </a:ln>
            </c:spPr>
          </c:dPt>
          <c:dPt>
            <c:idx val="6"/>
            <c:invertIfNegative val="0"/>
            <c:spPr>
              <a:solidFill xmlns:a="http://schemas.openxmlformats.org/drawingml/2006/main">
                <a:srgbClr val="F07020"/>
              </a:solidFill>
              <a:ln xmlns:a="http://schemas.openxmlformats.org/drawingml/2006/main">
                <a:solidFill>
                  <a:srgbClr val="F07020"/>
                </a:solidFill>
              </a:ln>
            </c:spPr>
          </c:dPt>
          <c:dPt>
            <c:idx val="7"/>
            <c:invertIfNegative val="0"/>
            <c:spPr>
              <a:solidFill xmlns:a="http://schemas.openxmlformats.org/drawingml/2006/main">
                <a:srgbClr val="D33F49"/>
              </a:solidFill>
              <a:ln xmlns:a="http://schemas.openxmlformats.org/drawingml/2006/main">
                <a:solidFill>
                  <a:srgbClr val="D33F49"/>
                </a:solidFill>
              </a:ln>
            </c:spPr>
          </c:dPt>
          <c:cat>
            <c:strRef>
              <c:f>'16_Glosas_EPS'!$A$5:$A$12</c:f>
              <c:strCache>
                <c:ptCount val="8"/>
                <c:pt idx="0">
                  <c:v>Salud Total</c:v>
                </c:pt>
                <c:pt idx="1">
                  <c:v>Sanitas</c:v>
                </c:pt>
                <c:pt idx="2">
                  <c:v>AIC</c:v>
                </c:pt>
                <c:pt idx="3">
                  <c:v>Asmet Salud</c:v>
                </c:pt>
                <c:pt idx="4">
                  <c:v>Compensar</c:v>
                </c:pt>
                <c:pt idx="5">
                  <c:v>Emssanar</c:v>
                </c:pt>
                <c:pt idx="6">
                  <c:v>Coosalud</c:v>
                </c:pt>
                <c:pt idx="7">
                  <c:v>Otros</c:v>
                </c:pt>
              </c:strCache>
            </c:strRef>
          </c:cat>
          <c:val>
            <c:numRef>
              <c:f>'16_Glosas_EPS'!$B$5:$B$12</c:f>
              <c:numCache>
                <c:formatCode>#,##0</c:formatCode>
                <c:ptCount val="8"/>
                <c:pt idx="0">
                  <c:v>665</c:v>
                </c:pt>
                <c:pt idx="1">
                  <c:v>89</c:v>
                </c:pt>
                <c:pt idx="2">
                  <c:v>47</c:v>
                </c:pt>
                <c:pt idx="3">
                  <c:v>5</c:v>
                </c:pt>
                <c:pt idx="4">
                  <c:v>2</c:v>
                </c:pt>
                <c:pt idx="5">
                  <c:v>1</c:v>
                </c:pt>
                <c:pt idx="6">
                  <c:v>1</c:v>
                </c:pt>
                <c:pt idx="7">
                  <c:v>2</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Estado documental de 194 registros</a:t>
            </a:r>
          </a:p>
        </c:rich>
      </c:tx>
      <c:overlay val="0"/>
    </c:title>
    <c:plotArea>
      <c:barChart>
        <c:barDir val="col"/>
        <c:varyColors val="0"/>
        <c:ser>
          <c:idx val="0"/>
          <c:order val="0"/>
          <c:tx>
            <c:v>Series 1</c:v>
          </c:tx>
          <c:spPr>
            <a:solidFill xmlns:a="http://schemas.openxmlformats.org/drawingml/2006/main">
              <a:srgbClr val="118C5B"/>
            </a:solidFill>
            <a:ln xmlns:a="http://schemas.openxmlformats.org/drawingml/2006/main">
              <a:solidFill>
                <a:srgbClr val="118C5B"/>
              </a:solidFill>
            </a:ln>
          </c:spPr>
          <c:invertIfNegative val="0"/>
          <c:dPt>
            <c:idx val="0"/>
            <c:invertIfNegative val="0"/>
            <c:spPr>
              <a:solidFill xmlns:a="http://schemas.openxmlformats.org/drawingml/2006/main">
                <a:srgbClr val="118C5B"/>
              </a:solidFill>
              <a:ln xmlns:a="http://schemas.openxmlformats.org/drawingml/2006/main">
                <a:solidFill>
                  <a:srgbClr val="118C5B"/>
                </a:solidFill>
              </a:ln>
            </c:spPr>
          </c:dPt>
          <c:dPt>
            <c:idx val="1"/>
            <c:invertIfNegative val="0"/>
            <c:spPr>
              <a:solidFill xmlns:a="http://schemas.openxmlformats.org/drawingml/2006/main">
                <a:srgbClr val="E4A000"/>
              </a:solidFill>
              <a:ln xmlns:a="http://schemas.openxmlformats.org/drawingml/2006/main">
                <a:solidFill>
                  <a:srgbClr val="E4A000"/>
                </a:solidFill>
              </a:ln>
            </c:spPr>
          </c:dPt>
          <c:dPt>
            <c:idx val="2"/>
            <c:invertIfNegative val="0"/>
            <c:spPr>
              <a:solidFill xmlns:a="http://schemas.openxmlformats.org/drawingml/2006/main">
                <a:srgbClr val="D33F49"/>
              </a:solidFill>
              <a:ln xmlns:a="http://schemas.openxmlformats.org/drawingml/2006/main">
                <a:solidFill>
                  <a:srgbClr val="D33F49"/>
                </a:solidFill>
              </a:ln>
            </c:spPr>
          </c:dPt>
          <c:dPt>
            <c:idx val="3"/>
            <c:invertIfNegative val="0"/>
            <c:spPr>
              <a:solidFill xmlns:a="http://schemas.openxmlformats.org/drawingml/2006/main">
                <a:srgbClr val="0B4FD8"/>
              </a:solidFill>
              <a:ln xmlns:a="http://schemas.openxmlformats.org/drawingml/2006/main">
                <a:solidFill>
                  <a:srgbClr val="0B4FD8"/>
                </a:solidFill>
              </a:ln>
            </c:spPr>
          </c:dPt>
          <c:dPt>
            <c:idx val="4"/>
            <c:invertIfNegative val="0"/>
            <c:spPr>
              <a:solidFill xmlns:a="http://schemas.openxmlformats.org/drawingml/2006/main">
                <a:srgbClr val="F07020"/>
              </a:solidFill>
              <a:ln xmlns:a="http://schemas.openxmlformats.org/drawingml/2006/main">
                <a:solidFill>
                  <a:srgbClr val="F07020"/>
                </a:solidFill>
              </a:ln>
            </c:spPr>
          </c:dPt>
          <c:dPt>
            <c:idx val="5"/>
            <c:invertIfNegative val="0"/>
            <c:spPr>
              <a:solidFill xmlns:a="http://schemas.openxmlformats.org/drawingml/2006/main">
                <a:srgbClr val="A13CC1"/>
              </a:solidFill>
              <a:ln xmlns:a="http://schemas.openxmlformats.org/drawingml/2006/main">
                <a:solidFill>
                  <a:srgbClr val="A13CC1"/>
                </a:solidFill>
              </a:ln>
            </c:spPr>
          </c:dPt>
          <c:dPt>
            <c:idx val="6"/>
            <c:invertIfNegative val="0"/>
            <c:spPr>
              <a:solidFill xmlns:a="http://schemas.openxmlformats.org/drawingml/2006/main">
                <a:srgbClr val="65758B"/>
              </a:solidFill>
              <a:ln xmlns:a="http://schemas.openxmlformats.org/drawingml/2006/main">
                <a:solidFill>
                  <a:srgbClr val="65758B"/>
                </a:solidFill>
              </a:ln>
            </c:spPr>
          </c:dPt>
          <c:dPt>
            <c:idx val="7"/>
            <c:invertIfNegative val="0"/>
            <c:spPr>
              <a:solidFill xmlns:a="http://schemas.openxmlformats.org/drawingml/2006/main">
                <a:srgbClr val="00B8A9"/>
              </a:solidFill>
              <a:ln xmlns:a="http://schemas.openxmlformats.org/drawingml/2006/main">
                <a:solidFill>
                  <a:srgbClr val="00B8A9"/>
                </a:solidFill>
              </a:ln>
            </c:spPr>
          </c:dPt>
          <c:cat>
            <c:strRef>
              <c:f>'18_Equipos_biomedicos'!$A$6:$A$13</c:f>
              <c:strCache>
                <c:ptCount val="0"/>
              </c:strCache>
            </c:strRef>
          </c:cat>
          <c:val>
            <c:numRef>
              <c:f>'18_Equipos_biomedicos'!$B$6:$B$13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Carlito"/>
                <a:ea typeface="Carlito"/>
                <a:cs typeface="Carlito"/>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Comparación multicriterio de escenarios</a:t>
            </a:r>
          </a:p>
        </c:rich>
      </c:tx>
      <c:overlay val="1"/>
    </c:title>
    <c:autoTitleDeleted val="0"/>
    <c:plotArea>
      <c:barChart>
        <c:barDir val="col"/>
        <c:grouping val="clustered"/>
        <c:varyColors val="0"/>
        <c:ser>
          <c:idx val="0"/>
          <c:order val="0"/>
          <c:spPr>
            <a:solidFill xmlns:a="http://schemas.openxmlformats.org/drawingml/2006/main">
              <a:srgbClr val="0B4FD8"/>
            </a:solidFill>
            <a:ln xmlns:a="http://schemas.openxmlformats.org/drawingml/2006/main">
              <a:solidFill>
                <a:srgbClr val="0B4FD8"/>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'20_Matriz_escenarios'!$B$5:$B$7</c:f>
              <c:numCache>
                <c:formatCode>0.00</c:formatCode>
                <c:ptCount val="3"/>
                <c:pt idx="0">
                  <c:v>4.2</c:v>
                </c:pt>
                <c:pt idx="1">
                  <c:v>4</c:v>
                </c:pt>
                <c:pt idx="2">
                  <c:v>2.2</c:v>
                </c:pt>
              </c:numCache>
            </c:numRef>
          </c:val>
        </c:ser>
        <c:ser>
          <c:idx val="1"/>
          <c:order val="1"/>
          <c:spPr>
            <a:solidFill xmlns:a="http://schemas.openxmlformats.org/drawingml/2006/main">
              <a:srgbClr val="00A6D6"/>
            </a:solidFill>
            <a:ln xmlns:a="http://schemas.openxmlformats.org/drawingml/2006/main">
              <a:solidFill>
                <a:srgbClr val="00A6D6"/>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'20_Matriz_escenarios'!$C$5:$C$7</c:f>
              <c:numCache>
                <c:formatCode>0.00</c:formatCode>
                <c:ptCount val="3"/>
                <c:pt idx="0">
                  <c:v>4.5</c:v>
                </c:pt>
                <c:pt idx="1">
                  <c:v>4.2</c:v>
                </c:pt>
                <c:pt idx="2">
                  <c:v>2</c:v>
                </c:pt>
              </c:numCache>
            </c:numRef>
          </c:val>
        </c:ser>
        <c:ser>
          <c:idx val="2"/>
          <c:order val="2"/>
          <c:spPr>
            <a:solidFill xmlns:a="http://schemas.openxmlformats.org/drawingml/2006/main">
              <a:srgbClr val="00B8A9"/>
            </a:solidFill>
            <a:ln xmlns:a="http://schemas.openxmlformats.org/drawingml/2006/main">
              <a:solidFill>
                <a:srgbClr val="00B8A9"/>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'20_Matriz_escenarios'!$D$5:$D$7</c:f>
              <c:numCache>
                <c:formatCode>0.00</c:formatCode>
                <c:ptCount val="3"/>
                <c:pt idx="0">
                  <c:v>3.7</c:v>
                </c:pt>
                <c:pt idx="1">
                  <c:v>4.1</c:v>
                </c:pt>
                <c:pt idx="2">
                  <c:v>2.8</c:v>
                </c:pt>
              </c:numCache>
            </c:numRef>
          </c:val>
        </c:ser>
        <c:ser>
          <c:idx val="3"/>
          <c:order val="3"/>
          <c:spPr>
            <a:solidFill xmlns:a="http://schemas.openxmlformats.org/drawingml/2006/main">
              <a:srgbClr val="118C5B"/>
            </a:solidFill>
            <a:ln xmlns:a="http://schemas.openxmlformats.org/drawingml/2006/main">
              <a:solidFill>
                <a:srgbClr val="118C5B"/>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'20_Matriz_escenarios'!$E$5:$E$7</c:f>
              <c:numCache>
                <c:formatCode>0.00</c:formatCode>
                <c:ptCount val="3"/>
                <c:pt idx="0">
                  <c:v>2.7</c:v>
                </c:pt>
                <c:pt idx="1">
                  <c:v>3.8</c:v>
                </c:pt>
                <c:pt idx="2">
                  <c:v>3.4</c:v>
                </c:pt>
              </c:numCache>
            </c:numRef>
          </c:val>
        </c:ser>
        <c:ser>
          <c:idx val="4"/>
          <c:order val="4"/>
          <c:spPr>
            <a:solidFill xmlns:a="http://schemas.openxmlformats.org/drawingml/2006/main">
              <a:srgbClr val="8FBE00"/>
            </a:solidFill>
            <a:ln xmlns:a="http://schemas.openxmlformats.org/drawingml/2006/main">
              <a:solidFill>
                <a:srgbClr val="8FBE00"/>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'20_Matriz_escenarios'!$F$5:$F$7</c:f>
              <c:numCache>
                <c:formatCode>0.00</c:formatCode>
                <c:ptCount val="3"/>
                <c:pt idx="0">
                  <c:v>3.2</c:v>
                </c:pt>
                <c:pt idx="1">
                  <c:v>4.1</c:v>
                </c:pt>
                <c:pt idx="2">
                  <c:v>2.8</c:v>
                </c:pt>
              </c:numCache>
            </c:numRef>
          </c:val>
        </c:ser>
        <c:ser>
          <c:idx val="5"/>
          <c:order val="5"/>
          <c:spPr>
            <a:solidFill xmlns:a="http://schemas.openxmlformats.org/drawingml/2006/main">
              <a:srgbClr val="E4A000"/>
            </a:solidFill>
            <a:ln xmlns:a="http://schemas.openxmlformats.org/drawingml/2006/main">
              <a:solidFill>
                <a:srgbClr val="E4A000"/>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'20_Matriz_escenarios'!$G$5:$G$7</c:f>
              <c:numCache>
                <c:formatCode>0.00</c:formatCode>
                <c:ptCount val="3"/>
                <c:pt idx="0">
                  <c:v>4</c:v>
                </c:pt>
                <c:pt idx="1">
                  <c:v>3.5</c:v>
                </c:pt>
                <c:pt idx="2">
                  <c:v>2.6</c:v>
                </c:pt>
              </c:numCache>
            </c:numRef>
          </c:val>
        </c:ser>
        <c:ser>
          <c:idx val="6"/>
          <c:order val="6"/>
          <c:spPr>
            <a:solidFill xmlns:a="http://schemas.openxmlformats.org/drawingml/2006/main">
              <a:srgbClr val="F07020"/>
            </a:solidFill>
            <a:ln xmlns:a="http://schemas.openxmlformats.org/drawingml/2006/main">
              <a:solidFill>
                <a:srgbClr val="F07020"/>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'20_Matriz_escenarios'!$H$5:$H$7</c:f>
              <c:numCache>
                <c:formatCode>0.00</c:formatCode>
                <c:ptCount val="3"/>
                <c:pt idx="0">
                  <c:v>4.5</c:v>
                </c:pt>
                <c:pt idx="1">
                  <c:v>3.2</c:v>
                </c:pt>
                <c:pt idx="2">
                  <c:v>2.3</c:v>
                </c:pt>
              </c:numCache>
            </c:numRef>
          </c:val>
        </c:ser>
        <c:ser>
          <c:idx val="7"/>
          <c:order val="7"/>
          <c:spPr>
            <a:solidFill xmlns:a="http://schemas.openxmlformats.org/drawingml/2006/main">
              <a:srgbClr val="D33F49"/>
            </a:solidFill>
            <a:ln xmlns:a="http://schemas.openxmlformats.org/drawingml/2006/main">
              <a:solidFill>
                <a:srgbClr val="D33F49"/>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'20_Matriz_escenarios'!$I$5:$I$7</c:f>
              <c:numCache>
                <c:formatCode>0.00</c:formatCode>
                <c:ptCount val="3"/>
                <c:pt idx="0">
                  <c:v>4.3</c:v>
                </c:pt>
                <c:pt idx="1">
                  <c:v>4</c:v>
                </c:pt>
                <c:pt idx="2">
                  <c:v>1.9</c:v>
                </c:pt>
              </c:numCache>
            </c:numRef>
          </c:val>
        </c:ser>
        <c:ser>
          <c:idx val="8"/>
          <c:order val="8"/>
          <c:spPr>
            <a:solidFill xmlns:a="http://schemas.openxmlformats.org/drawingml/2006/main">
              <a:srgbClr val="A13CC1"/>
            </a:solidFill>
            <a:ln xmlns:a="http://schemas.openxmlformats.org/drawingml/2006/main">
              <a:solidFill>
                <a:srgbClr val="A13CC1"/>
              </a:solidFill>
            </a:ln>
          </c:spPr>
          <c:invertIfNegative val="1"/>
          <c:cat>
            <c:strRef>
              <c:f>'20_Matriz_escenarios'!$A$5:$A$7</c:f>
              <c:strCache>
                <c:ptCount val="3"/>
                <c:pt idx="0">
                  <c:v>Continuidad optimizada</c:v>
                </c:pt>
                <c:pt idx="1">
                  <c:v>Tercerización condicionada</c:v>
                </c:pt>
                <c:pt idx="2">
                  <c:v>Cierre / reconversión</c:v>
                </c:pt>
              </c:strCache>
            </c:strRef>
          </c:cat>
          <c:val>
            <c:numRef>
              <c:f>'20_Matriz_escenarios'!$J$5:$J$7</c:f>
              <c:numCache>
                <c:formatCode>0.00</c:formatCode>
                <c:ptCount val="3"/>
                <c:pt idx="0">
                  <c:v>3.82</c:v>
                </c:pt>
                <c:pt idx="1">
                  <c:v>3.91</c:v>
                </c:pt>
                <c:pt idx="2">
                  <c:v>2.54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Simulación: facturación, costo y recaudo meta</a:t>
            </a:r>
          </a:p>
        </c:rich>
      </c:tx>
      <c:overlay val="0"/>
    </c:title>
    <c:plotArea>
      <c:lineChart>
        <c:grouping val="standard"/>
        <c:varyColors val="0"/>
        <c:ser>
          <c:idx val="0"/>
          <c:order val="0"/>
          <c:tx>
            <c:v>Costo proyectado</c:v>
          </c:tx>
          <c:spPr>
            <a:solidFill xmlns:a="http://schemas.openxmlformats.org/drawingml/2006/main">
              <a:srgbClr val="E4A000"/>
            </a:solidFill>
            <a:ln xmlns:a="http://schemas.openxmlformats.org/drawingml/2006/main">
              <a:solidFill>
                <a:srgbClr val="E4A000"/>
              </a:solidFill>
            </a:ln>
          </c:spPr>
          <c:marker>
            <c:symbol val="none"/>
          </c:marker>
          <c:cat>
            <c:strRef>
              <c:f>'21_Modelo_financiero'!$A$16:$A$20</c:f>
              <c:strCache>
                <c:ptCount val="0"/>
              </c:strCache>
            </c:strRef>
          </c:cat>
          <c:val>
            <c:numRef>
              <c:f>'21_Modelo_financiero'!$D$16:$D$20</c:f>
              <c:numCache>
                <c:formatCode>#,##0.00;(#,##0.00);"-"</c:formatCode>
                <c:ptCount val="0"/>
              </c:numCache>
            </c:numRef>
          </c:val>
          <c:smooth val="0"/>
        </c:ser>
        <c:ser>
          <c:idx val="1"/>
          <c:order val="1"/>
          <c:tx>
            <c:v>Recaudo meta</c:v>
          </c:tx>
          <c:spPr>
            <a:solidFill xmlns:a="http://schemas.openxmlformats.org/drawingml/2006/main">
              <a:srgbClr val="118C5B"/>
            </a:solidFill>
            <a:ln xmlns:a="http://schemas.openxmlformats.org/drawingml/2006/main">
              <a:solidFill>
                <a:srgbClr val="118C5B"/>
              </a:solidFill>
            </a:ln>
          </c:spPr>
          <c:marker>
            <c:symbol val="none"/>
          </c:marker>
          <c:cat>
            <c:strRef>
              <c:f>'21_Modelo_financiero'!$A$16:$A$20</c:f>
              <c:strCache>
                <c:ptCount val="0"/>
              </c:strCache>
            </c:strRef>
          </c:cat>
          <c:val>
            <c:numRef>
              <c:f>'21_Modelo_financiero'!$G$16:$G$20</c:f>
              <c:numCache>
                <c:formatCode>#,##0.00;(#,##0.00);"-"</c:formatCode>
                <c:ptCount val="0"/>
              </c:numCache>
            </c:numRef>
          </c:val>
          <c:smooth val="0"/>
        </c:ser>
        <c:ser>
          <c:idx val="2"/>
          <c:order val="2"/>
          <c:tx>
            <c:v>Facturación simulada</c:v>
          </c:tx>
          <c:spPr>
            <a:solidFill xmlns:a="http://schemas.openxmlformats.org/drawingml/2006/main">
              <a:srgbClr val="0B4FD8"/>
            </a:solidFill>
            <a:ln xmlns:a="http://schemas.openxmlformats.org/drawingml/2006/main">
              <a:solidFill>
                <a:srgbClr val="0B4FD8"/>
              </a:solidFill>
            </a:ln>
          </c:spPr>
          <c:marker>
            <c:symbol val="none"/>
          </c:marker>
          <c:cat>
            <c:strRef>
              <c:f>'21_Modelo_financiero'!$A$16:$A$20</c:f>
              <c:strCache>
                <c:ptCount val="0"/>
              </c:strCache>
            </c:strRef>
          </c:cat>
          <c:val>
            <c:numRef>
              <c:f>'21_Modelo_financiero'!$I$16:$I$20</c:f>
              <c:numCache>
                <c:formatCode>#,##0.00;(#,##0.00);"-"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Año simulado</a:t>
                </a:r>
              </a:p>
            </c:rich>
          </c:tx>
          <c:overlay val="0"/>
        </c:title>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COP millones</a:t>
                </a:r>
              </a:p>
            </c:rich>
          </c:tx>
          <c:overlay val="0"/>
        </c:title>
        <c:numFmt formatCode="#,##0,,&quot; M&quot;"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Producción mensual por servicio</a:t>
            </a:r>
          </a:p>
        </c:rich>
      </c:tx>
      <c:overlay val="1"/>
    </c:title>
    <c:autoTitleDeleted val="0"/>
    <c:plotArea>
      <c:lineChart>
        <c:grouping val="standard"/>
        <c:varyColors val="1"/>
        <c:ser>
          <c:idx val="0"/>
          <c:order val="0"/>
          <c:spPr>
            <a:solidFill xmlns:a="http://schemas.openxmlformats.org/drawingml/2006/main">
              <a:srgbClr val="0B4FD8"/>
            </a:solidFill>
            <a:ln xmlns:a="http://schemas.openxmlformats.org/drawingml/2006/main">
              <a:solidFill>
                <a:srgbClr val="0B4FD8"/>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'29_Matriz_mensual'!$B$5:$B$12</c:f>
              <c:numCache>
                <c:formatCode>#,##0</c:formatCode>
                <c:ptCount val="8"/>
                <c:pt idx="0">
                  <c:v>4559</c:v>
                </c:pt>
                <c:pt idx="1">
                  <c:v>475</c:v>
                </c:pt>
                <c:pt idx="2">
                  <c:v>14001</c:v>
                </c:pt>
                <c:pt idx="3">
                  <c:v>36923</c:v>
                </c:pt>
                <c:pt idx="4">
                  <c:v>423</c:v>
                </c:pt>
                <c:pt idx="5">
                  <c:v>1052</c:v>
                </c:pt>
                <c:pt idx="6">
                  <c:v>2867</c:v>
                </c:pt>
                <c:pt idx="7">
                  <c:v>11912</c:v>
                </c:pt>
              </c:numCache>
            </c:numRef>
          </c:val>
          <c:smooth val="1"/>
        </c:ser>
        <c:ser>
          <c:idx val="1"/>
          <c:order val="1"/>
          <c:spPr>
            <a:solidFill xmlns:a="http://schemas.openxmlformats.org/drawingml/2006/main">
              <a:srgbClr val="00A6D6"/>
            </a:solidFill>
            <a:ln xmlns:a="http://schemas.openxmlformats.org/drawingml/2006/main">
              <a:solidFill>
                <a:srgbClr val="00A6D6"/>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'29_Matriz_mensual'!$C$5:$C$12</c:f>
              <c:numCache>
                <c:formatCode>#,##0</c:formatCode>
                <c:ptCount val="8"/>
                <c:pt idx="0">
                  <c:v>4837</c:v>
                </c:pt>
                <c:pt idx="1">
                  <c:v>462</c:v>
                </c:pt>
                <c:pt idx="2">
                  <c:v>12826</c:v>
                </c:pt>
                <c:pt idx="3">
                  <c:v>33227</c:v>
                </c:pt>
                <c:pt idx="4">
                  <c:v>346</c:v>
                </c:pt>
                <c:pt idx="5">
                  <c:v>1088</c:v>
                </c:pt>
                <c:pt idx="6">
                  <c:v>3059</c:v>
                </c:pt>
                <c:pt idx="7">
                  <c:v>11271</c:v>
                </c:pt>
              </c:numCache>
            </c:numRef>
          </c:val>
          <c:smooth val="1"/>
        </c:ser>
        <c:ser>
          <c:idx val="2"/>
          <c:order val="2"/>
          <c:spPr>
            <a:solidFill xmlns:a="http://schemas.openxmlformats.org/drawingml/2006/main">
              <a:srgbClr val="00B8A9"/>
            </a:solidFill>
            <a:ln xmlns:a="http://schemas.openxmlformats.org/drawingml/2006/main">
              <a:solidFill>
                <a:srgbClr val="00B8A9"/>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'29_Matriz_mensual'!$D$5:$D$12</c:f>
              <c:numCache>
                <c:formatCode>#,##0</c:formatCode>
                <c:ptCount val="8"/>
                <c:pt idx="0">
                  <c:v>5595</c:v>
                </c:pt>
                <c:pt idx="1">
                  <c:v>614</c:v>
                </c:pt>
                <c:pt idx="2">
                  <c:v>14692</c:v>
                </c:pt>
                <c:pt idx="3">
                  <c:v>38148</c:v>
                </c:pt>
                <c:pt idx="4">
                  <c:v>378</c:v>
                </c:pt>
                <c:pt idx="5">
                  <c:v>1158</c:v>
                </c:pt>
                <c:pt idx="6">
                  <c:v>2650</c:v>
                </c:pt>
                <c:pt idx="7">
                  <c:v>12913</c:v>
                </c:pt>
              </c:numCache>
            </c:numRef>
          </c:val>
          <c:smooth val="1"/>
        </c:ser>
        <c:ser>
          <c:idx val="3"/>
          <c:order val="3"/>
          <c:spPr>
            <a:solidFill xmlns:a="http://schemas.openxmlformats.org/drawingml/2006/main">
              <a:srgbClr val="118C5B"/>
            </a:solidFill>
            <a:ln xmlns:a="http://schemas.openxmlformats.org/drawingml/2006/main">
              <a:solidFill>
                <a:srgbClr val="118C5B"/>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'29_Matriz_mensual'!$E$5:$E$12</c:f>
              <c:numCache>
                <c:formatCode>#,##0</c:formatCode>
                <c:ptCount val="8"/>
                <c:pt idx="0">
                  <c:v>5424</c:v>
                </c:pt>
                <c:pt idx="1">
                  <c:v>514</c:v>
                </c:pt>
                <c:pt idx="2">
                  <c:v>15301</c:v>
                </c:pt>
                <c:pt idx="3">
                  <c:v>35609</c:v>
                </c:pt>
                <c:pt idx="4">
                  <c:v>316</c:v>
                </c:pt>
                <c:pt idx="5">
                  <c:v>1196</c:v>
                </c:pt>
                <c:pt idx="6">
                  <c:v>2954</c:v>
                </c:pt>
                <c:pt idx="7">
                  <c:v>12197</c:v>
                </c:pt>
              </c:numCache>
            </c:numRef>
          </c:val>
          <c:smooth val="1"/>
        </c:ser>
        <c:ser>
          <c:idx val="4"/>
          <c:order val="4"/>
          <c:spPr>
            <a:solidFill xmlns:a="http://schemas.openxmlformats.org/drawingml/2006/main">
              <a:srgbClr val="8FBE00"/>
            </a:solidFill>
            <a:ln xmlns:a="http://schemas.openxmlformats.org/drawingml/2006/main">
              <a:solidFill>
                <a:srgbClr val="8FBE00"/>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'29_Matriz_mensual'!$F$5:$F$12</c:f>
              <c:numCache>
                <c:formatCode>#,##0</c:formatCode>
                <c:ptCount val="8"/>
                <c:pt idx="0">
                  <c:v>6059</c:v>
                </c:pt>
                <c:pt idx="1">
                  <c:v>566</c:v>
                </c:pt>
                <c:pt idx="2">
                  <c:v>14992</c:v>
                </c:pt>
                <c:pt idx="3">
                  <c:v>39991</c:v>
                </c:pt>
                <c:pt idx="4">
                  <c:v>333</c:v>
                </c:pt>
                <c:pt idx="5">
                  <c:v>1293</c:v>
                </c:pt>
                <c:pt idx="6">
                  <c:v>3226</c:v>
                </c:pt>
                <c:pt idx="7">
                  <c:v>14367</c:v>
                </c:pt>
              </c:numCache>
            </c:numRef>
          </c:val>
          <c:smooth val="1"/>
        </c:ser>
        <c:ser>
          <c:idx val="5"/>
          <c:order val="5"/>
          <c:spPr>
            <a:solidFill xmlns:a="http://schemas.openxmlformats.org/drawingml/2006/main">
              <a:srgbClr val="E4A000"/>
            </a:solidFill>
            <a:ln xmlns:a="http://schemas.openxmlformats.org/drawingml/2006/main">
              <a:solidFill>
                <a:srgbClr val="E4A000"/>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'29_Matriz_mensual'!$G$5:$G$12</c:f>
              <c:numCache>
                <c:formatCode>#,##0</c:formatCode>
                <c:ptCount val="8"/>
                <c:pt idx="0">
                  <c:v>5333</c:v>
                </c:pt>
                <c:pt idx="1">
                  <c:v>386</c:v>
                </c:pt>
                <c:pt idx="2">
                  <c:v>14333</c:v>
                </c:pt>
                <c:pt idx="3">
                  <c:v>35673</c:v>
                </c:pt>
                <c:pt idx="4">
                  <c:v>340</c:v>
                </c:pt>
                <c:pt idx="5">
                  <c:v>906</c:v>
                </c:pt>
                <c:pt idx="6">
                  <c:v>2573</c:v>
                </c:pt>
                <c:pt idx="7">
                  <c:v>12145</c:v>
                </c:pt>
              </c:numCache>
            </c:numRef>
          </c:val>
          <c:smooth val="1"/>
        </c:ser>
        <c:ser>
          <c:idx val="6"/>
          <c:order val="6"/>
          <c:spPr>
            <a:solidFill xmlns:a="http://schemas.openxmlformats.org/drawingml/2006/main">
              <a:srgbClr val="F07020"/>
            </a:solidFill>
            <a:ln xmlns:a="http://schemas.openxmlformats.org/drawingml/2006/main">
              <a:solidFill>
                <a:srgbClr val="F07020"/>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'29_Matriz_mensual'!$H$5:$H$12</c:f>
              <c:numCache>
                <c:formatCode>#,##0</c:formatCode>
                <c:ptCount val="8"/>
                <c:pt idx="0">
                  <c:v>4304</c:v>
                </c:pt>
                <c:pt idx="1">
                  <c:v>328</c:v>
                </c:pt>
                <c:pt idx="2">
                  <c:v>8738</c:v>
                </c:pt>
                <c:pt idx="3">
                  <c:v>23417</c:v>
                </c:pt>
                <c:pt idx="4">
                  <c:v>254</c:v>
                </c:pt>
                <c:pt idx="5">
                  <c:v>57</c:v>
                </c:pt>
                <c:pt idx="6">
                  <c:v>2185</c:v>
                </c:pt>
                <c:pt idx="7">
                  <c:v>9438</c:v>
                </c:pt>
              </c:numCache>
            </c:numRef>
          </c:val>
          <c:smooth val="1"/>
        </c:ser>
        <c:ser>
          <c:idx val="7"/>
          <c:order val="7"/>
          <c:spPr>
            <a:solidFill xmlns:a="http://schemas.openxmlformats.org/drawingml/2006/main">
              <a:srgbClr val="D33F49"/>
            </a:solidFill>
            <a:ln xmlns:a="http://schemas.openxmlformats.org/drawingml/2006/main">
              <a:solidFill>
                <a:srgbClr val="D33F49"/>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'29_Matriz_mensual'!$I$5:$I$12</c:f>
              <c:numCache>
                <c:formatCode>#,##0</c:formatCode>
                <c:ptCount val="8"/>
                <c:pt idx="0">
                  <c:v>2922</c:v>
                </c:pt>
                <c:pt idx="1">
                  <c:v>255</c:v>
                </c:pt>
                <c:pt idx="2">
                  <c:v>7328</c:v>
                </c:pt>
                <c:pt idx="3">
                  <c:v>18677</c:v>
                </c:pt>
                <c:pt idx="4">
                  <c:v>222</c:v>
                </c:pt>
                <c:pt idx="5">
                  <c:v>64</c:v>
                </c:pt>
                <c:pt idx="6">
                  <c:v>1952</c:v>
                </c:pt>
                <c:pt idx="7">
                  <c:v>7256</c:v>
                </c:pt>
              </c:numCache>
            </c:numRef>
          </c:val>
          <c:smooth val="1"/>
        </c:ser>
        <c:ser>
          <c:idx val="8"/>
          <c:order val="8"/>
          <c:spPr>
            <a:solidFill xmlns:a="http://schemas.openxmlformats.org/drawingml/2006/main">
              <a:srgbClr val="A13CC1"/>
            </a:solidFill>
            <a:ln xmlns:a="http://schemas.openxmlformats.org/drawingml/2006/main">
              <a:solidFill>
                <a:srgbClr val="A13CC1"/>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'29_Matriz_mensual'!$J$5:$J$12</c:f>
              <c:numCache>
                <c:formatCode>#,##0</c:formatCode>
                <c:ptCount val="8"/>
                <c:pt idx="0">
                  <c:v>3009</c:v>
                </c:pt>
                <c:pt idx="1">
                  <c:v>216</c:v>
                </c:pt>
                <c:pt idx="2">
                  <c:v>6856</c:v>
                </c:pt>
                <c:pt idx="3">
                  <c:v>33000</c:v>
                </c:pt>
                <c:pt idx="4">
                  <c:v>279</c:v>
                </c:pt>
                <c:pt idx="5">
                  <c:v>44</c:v>
                </c:pt>
                <c:pt idx="6">
                  <c:v>2092</c:v>
                </c:pt>
                <c:pt idx="7">
                  <c:v>6747</c:v>
                </c:pt>
              </c:numCache>
            </c:numRef>
          </c:val>
          <c:smooth val="1"/>
        </c:ser>
        <c:ser>
          <c:idx val="9"/>
          <c:order val="9"/>
          <c:spPr>
            <a:solidFill xmlns:a="http://schemas.openxmlformats.org/drawingml/2006/main">
              <a:srgbClr val="6C5CE7"/>
            </a:solidFill>
            <a:ln xmlns:a="http://schemas.openxmlformats.org/drawingml/2006/main">
              <a:solidFill>
                <a:srgbClr val="6C5CE7"/>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'29_Matriz_mensual'!$K$5:$K$12</c:f>
              <c:numCache>
                <c:formatCode>#,##0</c:formatCode>
                <c:ptCount val="8"/>
                <c:pt idx="0">
                  <c:v>3502</c:v>
                </c:pt>
                <c:pt idx="1">
                  <c:v>324</c:v>
                </c:pt>
                <c:pt idx="2">
                  <c:v>8003</c:v>
                </c:pt>
                <c:pt idx="3">
                  <c:v>28532</c:v>
                </c:pt>
                <c:pt idx="4">
                  <c:v>252</c:v>
                </c:pt>
                <c:pt idx="5">
                  <c:v>126</c:v>
                </c:pt>
                <c:pt idx="6">
                  <c:v>1827</c:v>
                </c:pt>
                <c:pt idx="7">
                  <c:v>6858</c:v>
                </c:pt>
              </c:numCache>
            </c:numRef>
          </c:val>
          <c:smooth val="1"/>
        </c:ser>
        <c:ser>
          <c:idx val="10"/>
          <c:order val="10"/>
          <c:spPr>
            <a:solidFill xmlns:a="http://schemas.openxmlformats.org/drawingml/2006/main">
              <a:srgbClr val="65758B"/>
            </a:solidFill>
            <a:ln xmlns:a="http://schemas.openxmlformats.org/drawingml/2006/main">
              <a:solidFill>
                <a:srgbClr val="65758B"/>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'29_Matriz_mensual'!$L$5:$L$12</c:f>
              <c:numCache>
                <c:formatCode>#,##0</c:formatCode>
                <c:ptCount val="8"/>
                <c:pt idx="0">
                  <c:v>3034</c:v>
                </c:pt>
                <c:pt idx="1">
                  <c:v>132</c:v>
                </c:pt>
                <c:pt idx="2">
                  <c:v>6938</c:v>
                </c:pt>
                <c:pt idx="3">
                  <c:v>23211</c:v>
                </c:pt>
                <c:pt idx="4">
                  <c:v>278</c:v>
                </c:pt>
                <c:pt idx="5">
                  <c:v>1042</c:v>
                </c:pt>
                <c:pt idx="6">
                  <c:v>1803</c:v>
                </c:pt>
                <c:pt idx="7">
                  <c:v>6167</c:v>
                </c:pt>
              </c:numCache>
            </c:numRef>
          </c:val>
          <c:smooth val="1"/>
        </c:ser>
        <c:ser>
          <c:idx val="11"/>
          <c:order val="11"/>
          <c:spPr>
            <a:solidFill xmlns:a="http://schemas.openxmlformats.org/drawingml/2006/main">
              <a:srgbClr val="2D3748"/>
            </a:solidFill>
            <a:ln xmlns:a="http://schemas.openxmlformats.org/drawingml/2006/main">
              <a:solidFill>
                <a:srgbClr val="2D3748"/>
              </a:solidFill>
            </a:ln>
          </c:spPr>
          <c:marker>
            <c:symbol val="none"/>
          </c:marker>
          <c:cat>
            <c:strRef>
              <c:f>'29_Matriz_mensual'!$A$5:$A$12</c:f>
              <c:strCache>
                <c:ptCount val="8"/>
                <c:pt idx="0">
                  <c:v>Apoyo diagnóstico imagenología</c:v>
                </c:pt>
                <c:pt idx="1">
                  <c:v>Hospitalización</c:v>
                </c:pt>
                <c:pt idx="2">
                  <c:v>Laboratorio clínico</c:v>
                </c:pt>
                <c:pt idx="3">
                  <c:v>Medicamentos</c:v>
                </c:pt>
                <c:pt idx="4">
                  <c:v>Observación</c:v>
                </c:pt>
                <c:pt idx="5">
                  <c:v>Promoción y prevención</c:v>
                </c:pt>
                <c:pt idx="6">
                  <c:v>Consulta externa</c:v>
                </c:pt>
                <c:pt idx="7">
                  <c:v>Urgencias</c:v>
                </c:pt>
              </c:strCache>
            </c:strRef>
          </c:cat>
          <c:val>
            <c:numRef>
              <c:f>'29_Matriz_mensual'!$M$5:$M$12</c:f>
              <c:numCache>
                <c:formatCode>#,##0</c:formatCode>
                <c:ptCount val="8"/>
                <c:pt idx="0">
                  <c:v>3436</c:v>
                </c:pt>
                <c:pt idx="1">
                  <c:v>184</c:v>
                </c:pt>
                <c:pt idx="2">
                  <c:v>10748</c:v>
                </c:pt>
                <c:pt idx="3">
                  <c:v>31272</c:v>
                </c:pt>
                <c:pt idx="4">
                  <c:v>206</c:v>
                </c:pt>
                <c:pt idx="5">
                  <c:v>751</c:v>
                </c:pt>
                <c:pt idx="6">
                  <c:v>1619</c:v>
                </c:pt>
                <c:pt idx="7">
                  <c:v>6320</c:v>
                </c:pt>
              </c:numCache>
            </c:numRef>
          </c:val>
          <c:smooth val="1"/>
        </c:ser>
        <c:dLbls>
          <c:showLegendKey val="0"/>
          <c:showVal val="0"/>
          <c:showCatName val="0"/>
          <c:showSerName val="0"/>
          <c:showPercent val="0"/>
          <c:showBubbleSize val="0"/>
          <c:showLeaderLines val="0"/>
        </c:dLbls>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5</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3d36ed277e47f0"/>
        </a:graphicData>
      </a:graphic>
    </xdr:graphicFrame>
    <xdr:clientData/>
  </xdr:twoCellAnchor>
  <xdr:twoCellAnchor>
    <xdr:from>
      <xdr:col>5</xdr:col>
      <xdr:colOff>0</xdr:colOff>
      <xdr:row>24</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a109ff794c4d56"/>
        </a:graphicData>
      </a:graphic>
    </xdr:graphicFrame>
    <xdr:clientData/>
  </xdr:twoCellAnchor>
  <xdr:twoCellAnchor>
    <xdr:from>
      <xdr:col>0</xdr:col>
      <xdr:colOff>0</xdr:colOff>
      <xdr:row>42</xdr:row>
      <xdr:rowOff>0</xdr:rowOff>
    </xdr:from>
    <xdr:to>
      <xdr:col>5</xdr:col>
      <xdr:colOff>0</xdr:colOff>
      <xdr:row>58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a1b9c614254744"/>
        </a:graphicData>
      </a:graphic>
    </xdr:graphicFrame>
    <xdr:clientData/>
  </xdr:twoCellAnchor>
  <xdr:twoCellAnchor>
    <xdr:from>
      <xdr:col>5</xdr:col>
      <xdr:colOff>0</xdr:colOff>
      <xdr:row>42</xdr:row>
      <xdr:rowOff>0</xdr:rowOff>
    </xdr:from>
    <xdr:to>
      <xdr:col>11</xdr:col>
      <xdr:colOff>0</xdr:colOff>
      <xdr:row>58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dd84858314648fa"/>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afa396f70b45da"/>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89a433f34d497e"/>
        </a:graphicData>
      </a:graphic>
    </xdr:graphicFrame>
    <xdr:clientData/>
  </xdr:twoCellAnchor>
</xdr:wsDr>
</file>

<file path=xl/drawings/drawing4.xml><?xml version="1.0" encoding="utf-8"?>
<xdr:wsDr xmlns:xdr="http://schemas.openxmlformats.org/drawingml/2006/spreadsheetDrawing">
  <xdr:twoCellAnchor>
    <xdr:from>
      <xdr:col>3</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f958afd5644fcf"/>
        </a:graphicData>
      </a:graphic>
    </xdr:graphicFrame>
    <xdr:clientData/>
  </xdr:twoCellAnchor>
</xdr:wsDr>
</file>

<file path=xl/drawings/drawing5.xml><?xml version="1.0" encoding="utf-8"?>
<xdr:wsDr xmlns:xdr="http://schemas.openxmlformats.org/drawingml/2006/spreadsheetDrawing">
  <xdr:twoCellAnchor>
    <xdr:from>
      <xdr:col>2</xdr:col>
      <xdr:colOff>812800</xdr:colOff>
      <xdr:row>9</xdr:row>
      <xdr:rowOff>19050</xdr:rowOff>
    </xdr:from>
    <xdr:to>
      <xdr:col>9</xdr:col>
      <xdr:colOff>355600</xdr:colOff>
      <xdr:row>23</xdr:row>
      <xdr:rowOff>146050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fc0c8f7d154277"/>
        </a:graphicData>
      </a:graphic>
    </xdr:graphicFrame>
    <xdr:clientData/>
  </xdr:twoCellAnchor>
</xdr:wsDr>
</file>

<file path=xl/drawings/drawing6.xml><?xml version="1.0" encoding="utf-8"?>
<xdr:wsDr xmlns:xdr="http://schemas.openxmlformats.org/drawingml/2006/spreadsheetDrawing">
  <xdr:twoCellAnchor>
    <xdr:from>
      <xdr:col>3</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68d143d576401f"/>
        </a:graphicData>
      </a:graphic>
    </xdr:graphicFrame>
    <xdr:clientData/>
  </xdr:twoCellAnchor>
</xdr:wsDr>
</file>

<file path=xl/drawings/drawing7.xml><?xml version="1.0" encoding="utf-8"?>
<xdr:wsDr xmlns:xdr="http://schemas.openxmlformats.org/drawingml/2006/spreadsheetDrawing">
  <xdr:twoCellAnchor>
    <xdr:from>
      <xdr:col>5</xdr:col>
      <xdr:colOff>0</xdr:colOff>
      <xdr:row>3</xdr:row>
      <xdr:rowOff>0</xdr:rowOff>
    </xdr:from>
    <xdr:to>
      <xdr:col>16</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1fb5ac8a0d4c24"/>
        </a:graphicData>
      </a:graphic>
    </xdr:graphicFrame>
    <xdr:clientData/>
  </xdr:twoCellAnchor>
</xdr:wsDr>
</file>

<file path=xl/drawings/drawing8.xml><?xml version="1.0" encoding="utf-8"?>
<xdr:wsDr xmlns:xdr="http://schemas.openxmlformats.org/drawingml/2006/spreadsheetDrawing">
  <xdr:twoCellAnchor>
    <xdr:from>
      <xdr:col>0</xdr:col>
      <xdr:colOff>0</xdr:colOff>
      <xdr:row>26</xdr:row>
      <xdr:rowOff>0</xdr:rowOff>
    </xdr:from>
    <xdr:to>
      <xdr:col>10</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942d7fa091b4212"/>
        </a:graphicData>
      </a:graphic>
    </xdr:graphicFrame>
    <xdr:clientData/>
  </xdr:twoCellAnchor>
</xdr:wsDr>
</file>

<file path=xl/drawings/drawing9.xml><?xml version="1.0" encoding="utf-8"?>
<xdr:wsDr xmlns:xdr="http://schemas.openxmlformats.org/drawingml/2006/spreadsheetDrawing">
  <xdr:twoCellAnchor>
    <xdr:from>
      <xdr:col>0</xdr:col>
      <xdr:colOff>0</xdr:colOff>
      <xdr:row>25</xdr:row>
      <xdr:rowOff>0</xdr:rowOff>
    </xdr:from>
    <xdr:to>
      <xdr:col>10</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163a9f7f8242f5"/>
        </a:graphicData>
      </a:graphic>
    </xdr:graphicFrame>
    <xdr:clientData/>
  </xdr:twoCellAnchor>
</xdr:wsDr>
</file>

<file path=xl/drawings/drawing10.xml><?xml version="1.0" encoding="utf-8"?>
<xdr:wsDr xmlns:xdr="http://schemas.openxmlformats.org/drawingml/2006/spreadsheetDrawing">
  <xdr:twoCellAnchor>
    <xdr:from>
      <xdr:col>0</xdr:col>
      <xdr:colOff>0</xdr:colOff>
      <xdr:row>14</xdr:row>
      <xdr:rowOff>0</xdr:rowOff>
    </xdr:from>
    <xdr:to>
      <xdr:col>13</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1d5a5aeb7c4f4e"/>
        </a:graphicData>
      </a:graphic>
    </xdr:graphicFrame>
    <xdr:clientData/>
  </xdr:twoCellAnchor>
</xdr:wsDr>
</file>

<file path=xl/tables/table1.xml><?xml version="1.0" encoding="utf-8"?>
<x:table xmlns:x="http://schemas.openxmlformats.org/spreadsheetml/2006/main" id="1" name="TblPortada" displayName="TblPortada" ref="A4:B10">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TblControlVersiones" displayName="TblControlVersiones" ref="A4:E6">
  <x:tableColumns count="5">
    <x:tableColumn id="1" name="Versión"/>
    <x:tableColumn id="2" name="Fecha"/>
    <x:tableColumn id="3" name="Cambio"/>
    <x:tableColumn id="4" name="Responsable"/>
    <x:tableColumn id="5" name="Estado"/>
  </x:tableColumns>
  <x:tableStyleInfo name="TableStyleMedium2" showFirstColumn="0" showLastColumn="0" showRowStripes="1" showColumnStripes="0"/>
</x:table>
</file>

<file path=xl/tables/table3.xml><?xml version="1.0" encoding="utf-8"?>
<x:table xmlns:x="http://schemas.openxmlformats.org/spreadsheetml/2006/main" id="3" name="TblDashboard" displayName="TblDashboard" ref="A4:C10">
  <x:tableColumns count="3">
    <x:tableColumn id="1" name="Indicador"/>
    <x:tableColumn id="2" name="Valor"/>
    <x:tableColumn id="3" name="Lectura"/>
  </x:tableColumns>
  <x:tableStyleInfo name="TableStyleMedium2" showFirstColumn="0" showLastColumn="0" showRowStripes="1" showColumnStripes="0"/>
</x:table>
</file>

<file path=xl/tables/table4.xml><?xml version="1.0" encoding="utf-8"?>
<x:table xmlns:x="http://schemas.openxmlformats.org/spreadsheetml/2006/main" id="4" name="TblDashEscenarios" displayName="TblDashEscenarios" ref="E4:F7">
  <x:tableColumns count="2">
    <x:tableColumn id="1" name="Escenario"/>
    <x:tableColumn id="2" name="Puntaje"/>
  </x:tableColumns>
  <x:tableStyleInfo name="TableStyleMedium2" showFirstColumn="0" showLastColumn="0" showRowStripes="1" showColumnStripes="0"/>
</x:table>
</file>

<file path=xl/tables/table5.xml><?xml version="1.0" encoding="utf-8"?>
<x:table xmlns:x="http://schemas.openxmlformats.org/spreadsheetml/2006/main" id="5" name="TblDashPacientes" displayName="TblDashPacientes" ref="A12:B16">
  <x:tableColumns count="2">
    <x:tableColumn id="1" name="Periodo"/>
    <x:tableColumn id="2" name="Pacientes"/>
  </x:tableColumns>
  <x:tableStyleInfo name="TableStyleMedium2" showFirstColumn="0" showLastColumn="0" showRowStripes="1" showColumnStripes="0"/>
</x:table>
</file>

<file path=xl/tables/table6.xml><?xml version="1.0" encoding="utf-8"?>
<x:table xmlns:x="http://schemas.openxmlformats.org/spreadsheetml/2006/main" id="6" name="TblDashServiciosTop" displayName="TblDashServiciosTop" ref="D12:E17">
  <x:tableColumns count="2">
    <x:tableColumn id="1" name="Servicio"/>
    <x:tableColumn id="2" name="Actividades"/>
  </x:tableColumns>
  <x:tableStyleInfo name="TableStyleMedium2" showFirstColumn="0" showLastColumn="0" showRowStripes="1" showColumnStripes="0"/>
</x:table>
</file>

<file path=xl/tables/table7.xml><?xml version="1.0" encoding="utf-8"?>
<x:table xmlns:x="http://schemas.openxmlformats.org/spreadsheetml/2006/main" id="7" name="TblDashGlosasTop" displayName="TblDashGlosasTop" ref="H12:I17">
  <x:tableColumns count="2">
    <x:tableColumn id="1" name="EPS"/>
    <x:tableColumn id="2" name="Glosas"/>
  </x:tableColumns>
  <x:tableStyleInfo name="TableStyleMedium2" showFirstColumn="0" showLastColumn="0" showRowStripes="1" showColumnStripes="0"/>
</x:table>
</file>

<file path=xl/tables/table8.xml><?xml version="1.0" encoding="utf-8"?>
<x:table xmlns:x="http://schemas.openxmlformats.org/spreadsheetml/2006/main" id="8" name="TblFuentes" displayName="TblFuentes" ref="A4:F12">
  <x:tableColumns count="6">
    <x:tableColumn id="1" name="Fuente"/>
    <x:tableColumn id="2" name="Tipo"/>
    <x:tableColumn id="3" name="Periodo"/>
    <x:tableColumn id="4" name="Uso"/>
    <x:tableColumn id="5" name="Confiabilidad"/>
    <x:tableColumn id="6" name="Observación"/>
  </x:tableColumns>
  <x:tableStyleInfo name="TableStyleMedium2" showFirstColumn="0" showLastColumn="0" showRowStripes="1" showColumnStripes="0"/>
</x:table>
</file>

<file path=xl/tables/table9.xml><?xml version="1.0" encoding="utf-8"?>
<x:table xmlns:x="http://schemas.openxmlformats.org/spreadsheetml/2006/main" id="9" name="TblControlTotales" displayName="TblControlTotales" ref="A4:D11">
  <x:tableColumns count="4">
    <x:tableColumn id="1" name="Variable"/>
    <x:tableColumn id="2" name="Total"/>
    <x:tableColumn id="3" name="Fuente"/>
    <x:tableColumn id="4" name="Estado"/>
  </x:tableColumns>
  <x:tableStyleInfo name="TableStyleMedium2" showFirstColumn="0" showLastColumn="0" showRowStripes="1" showColumnStripes="0"/>
</x:table>
</file>

<file path=xl/tables/table10.xml><?xml version="1.0" encoding="utf-8"?>
<x:table xmlns:x="http://schemas.openxmlformats.org/spreadsheetml/2006/main" id="10" name="TblCalidad" displayName="TblCalidad" ref="A4:D9">
  <x:tableColumns count="4">
    <x:tableColumn id="1" name="Dimensión"/>
    <x:tableColumn id="2" name="Lectura"/>
    <x:tableColumn id="3" name="Riesgo"/>
    <x:tableColumn id="4" name="Acción recomendada"/>
  </x:tableColumns>
  <x:tableStyleInfo name="TableStyleMedium2" showFirstColumn="0" showLastColumn="0" showRowStripes="1" showColumnStripes="0"/>
</x:table>
</file>

<file path=xl/tables/table11.xml><?xml version="1.0" encoding="utf-8"?>
<x:table xmlns:x="http://schemas.openxmlformats.org/spreadsheetml/2006/main" id="11" name="Tbl07Pacientes" displayName="Tbl07Pacientes" ref="A4:B8">
  <x:tableColumns count="2">
    <x:tableColumn id="1" name="Periodo"/>
    <x:tableColumn id="2" name="Pacientes atendidos"/>
  </x:tableColumns>
  <x:tableStyleInfo name="TableStyleMedium2" showFirstColumn="0" showLastColumn="0" showRowStripes="1" showColumnStripes="0"/>
</x:table>
</file>

<file path=xl/tables/table12.xml><?xml version="1.0" encoding="utf-8"?>
<x:table xmlns:x="http://schemas.openxmlformats.org/spreadsheetml/2006/main" id="12" name="Tbl08Produccionservicios" displayName="Tbl08Produccionservicios" ref="A4:B14">
  <x:tableColumns count="2">
    <x:tableColumn id="1" name="Grupo de atención"/>
    <x:tableColumn id="2" name="Actividades"/>
  </x:tableColumns>
  <x:tableStyleInfo name="TableStyleMedium2" showFirstColumn="0" showLastColumn="0" showRowStripes="1" showColumnStripes="0"/>
</x:table>
</file>

<file path=xl/tables/table13.xml><?xml version="1.0" encoding="utf-8"?>
<x:table xmlns:x="http://schemas.openxmlformats.org/spreadsheetml/2006/main" id="13" name="Tbl09Tendenciamensual" displayName="Tbl09Tendenciamensual" ref="A4:B16">
  <x:tableColumns count="2">
    <x:tableColumn id="1" name="Mes"/>
    <x:tableColumn id="2" name="Actividades"/>
  </x:tableColumns>
  <x:tableStyleInfo name="TableStyleMedium2" showFirstColumn="0" showLastColumn="0" showRowStripes="1" showColumnStripes="0"/>
</x:table>
</file>

<file path=xl/tables/table14.xml><?xml version="1.0" encoding="utf-8"?>
<x:table xmlns:x="http://schemas.openxmlformats.org/spreadsheetml/2006/main" id="43" name="SexoRips" displayName="SexoRips" ref="A4:D7" headerRowCount="1" totalsRowCount="0" totalsRowShown="0">
  <x:autoFilter ref="A4:D7"/>
  <x:tableColumns count="4">
    <x:tableColumn id="1" name="Sexo registrado"/>
    <x:tableColumn id="2" name="Registros principales/egreso"/>
    <x:tableColumn id="3" name="Usuarios del grupo"/>
    <x:tableColumn id="4" name="Participación en registros"/>
  </x:tableColumns>
  <x:tableStyleInfo name="TableStyleMedium2" showFirstColumn="0" showLastColumn="0" showRowStripes="1" showColumnStripes="0"/>
</x:table>
</file>

<file path=xl/tables/table15.xml><?xml version="1.0" encoding="utf-8"?>
<x:table xmlns:x="http://schemas.openxmlformats.org/spreadsheetml/2006/main" id="44" name="EdadRips" displayName="EdadRips" ref="A11:D20" headerRowCount="1" totalsRowCount="0" totalsRowShown="0">
  <x:autoFilter ref="A11:D20"/>
  <x:tableColumns count="4">
    <x:tableColumn id="1" name="Grupo de edad"/>
    <x:tableColumn id="2" name="Registros principales/egreso"/>
    <x:tableColumn id="3" name="Usuarios del grupo"/>
    <x:tableColumn id="4" name="Participación en registros"/>
  </x:tableColumns>
  <x:tableStyleInfo name="TableStyleMedium2" showFirstColumn="0" showLastColumn="0" showRowStripes="1" showColumnStripes="0"/>
</x:table>
</file>

<file path=xl/tables/table16.xml><?xml version="1.0" encoding="utf-8"?>
<x:table xmlns:x="http://schemas.openxmlformats.org/spreadsheetml/2006/main" id="41" name="CondicionesRips" displayName="CondicionesRips" ref="A4:D14" headerRowCount="1" totalsRowCount="0" totalsRowShown="0">
  <x:autoFilter ref="A4:D14"/>
  <x:tableColumns count="4">
    <x:tableColumn id="1" name="Condición (etiqueta de fuente)"/>
    <x:tableColumn id="2" name="Registros principales/egreso"/>
    <x:tableColumn id="3" name="Usuarios del grupo"/>
    <x:tableColumn id="4" name="Participación en registros"/>
  </x:tableColumns>
  <x:tableStyleInfo name="TableStyleMedium2" showFirstColumn="0" showLastColumn="0" showRowStripes="1" showColumnStripes="0"/>
</x:table>
</file>

<file path=xl/tables/table17.xml><?xml version="1.0" encoding="utf-8"?>
<x:table xmlns:x="http://schemas.openxmlformats.org/spreadsheetml/2006/main" id="42" name="EpisodiosRips" displayName="EpisodiosRips" ref="A18:D28" headerRowCount="1" totalsRowCount="0" totalsRowShown="0">
  <x:autoFilter ref="A18:D28"/>
  <x:tableColumns count="4">
    <x:tableColumn id="1" name="Episodio (etiqueta de fuente)"/>
    <x:tableColumn id="2" name="Registros principales/egreso"/>
    <x:tableColumn id="3" name="Usuarios del grupo"/>
    <x:tableColumn id="4" name="Participación en registros"/>
  </x:tableColumns>
  <x:tableStyleInfo name="TableStyleMedium2" showFirstColumn="0" showLastColumn="0" showRowStripes="1" showColumnStripes="0"/>
</x:table>
</file>

<file path=xl/tables/table18.xml><?xml version="1.0" encoding="utf-8"?>
<x:table xmlns:x="http://schemas.openxmlformats.org/spreadsheetml/2006/main" id="16" name="Tbl12CostosCAIMI" displayName="Tbl12CostosCAIMI" ref="A4:B8">
  <x:tableColumns count="2">
    <x:tableColumn id="1" name="Vigencia"/>
    <x:tableColumn id="2" name="Costo total"/>
  </x:tableColumns>
  <x:tableStyleInfo name="TableStyleMedium2" showFirstColumn="0" showLastColumn="0" showRowStripes="1" showColumnStripes="0"/>
</x:table>
</file>

<file path=xl/tables/table19.xml><?xml version="1.0" encoding="utf-8"?>
<x:table xmlns:x="http://schemas.openxmlformats.org/spreadsheetml/2006/main" id="17" name="Tbl13Costosporcentro" displayName="Tbl13Costosporcentro" ref="A4:Q32">
  <x:tableColumns count="17">
    <x:tableColumn id="17" name="Vigencia " dataDxfId="0"/>
    <x:tableColumn id="1" name="Código" dataDxfId="1"/>
    <x:tableColumn id="2" name="Nombre"/>
    <x:tableColumn id="3" name="Tipo de Centro"/>
    <x:tableColumn id="4" name="Gastos Directos" dataDxfId="14"/>
    <x:tableColumn id="5" name="Gastos Variables" dataDxfId="13"/>
    <x:tableColumn id="6" name="Mano de Obra Directa" dataDxfId="12"/>
    <x:tableColumn id="7" name="Mano de Obra Indirecta" dataDxfId="11"/>
    <x:tableColumn id="8" name="Activos Fijos" dataDxfId="10"/>
    <x:tableColumn id="9" name="Dispensación" dataDxfId="9"/>
    <x:tableColumn id="10" name="Consumo" dataDxfId="8"/>
    <x:tableColumn id="11" name="Distribución Primaria" dataDxfId="7"/>
    <x:tableColumn id="12" name="Distribución Secundaria" dataDxfId="6"/>
    <x:tableColumn id="13" name="Costo Total" dataDxfId="5"/>
    <x:tableColumn id="14" name="Facturado" dataDxfId="4"/>
    <x:tableColumn id="15" name="Perdida / Ganancia" dataDxfId="3"/>
    <x:tableColumn id="16" name="% Margen" dataDxfId="2"/>
  </x:tableColumns>
  <x:tableStyleInfo name="TableStyleMedium2" showFirstColumn="0" showLastColumn="0" showRowStripes="1" showColumnStripes="0"/>
</x:table>
</file>

<file path=xl/tables/table20.xml><?xml version="1.0" encoding="utf-8"?>
<x:table xmlns:x="http://schemas.openxmlformats.org/spreadsheetml/2006/main" id="18" name="Tbl14Estadosfinancieros" displayName="Tbl14Estadosfinancieros" ref="A4:J7">
  <x:tableColumns count="10">
    <x:tableColumn id="1" name="Periodo"/>
    <x:tableColumn id="2" name="Activos"/>
    <x:tableColumn id="3" name="Pasivos"/>
    <x:tableColumn id="4" name="Patrimonio"/>
    <x:tableColumn id="5" name="Ingresos"/>
    <x:tableColumn id="6" name="Costos prestación"/>
    <x:tableColumn id="7" name="Utilidad bruta"/>
    <x:tableColumn id="8" name="Resultado operacional"/>
    <x:tableColumn id="9" name="Resultado periodo"/>
    <x:tableColumn id="10" name="Liquidez estimada"/>
  </x:tableColumns>
  <x:tableStyleInfo name="TableStyleMedium2" showFirstColumn="0" showLastColumn="0" showRowStripes="1" showColumnStripes="0"/>
</x:table>
</file>

<file path=xl/tables/table21.xml><?xml version="1.0" encoding="utf-8"?>
<x:table xmlns:x="http://schemas.openxmlformats.org/spreadsheetml/2006/main" id="19" name="Tbl15Indicadoresfinancieros" displayName="Tbl15Indicadoresfinancieros" ref="A4:G7">
  <x:tableColumns count="7">
    <x:tableColumn id="1" name="Periodo"/>
    <x:tableColumn id="2" name="Liquidez corriente"/>
    <x:tableColumn id="3" name="Endeudamiento"/>
    <x:tableColumn id="4" name="Margen bruto"/>
    <x:tableColumn id="5" name="Margen neto"/>
    <x:tableColumn id="6" name="Capital de trabajo"/>
    <x:tableColumn id="7" name="Costo / ingreso"/>
  </x:tableColumns>
  <x:tableStyleInfo name="TableStyleMedium2" showFirstColumn="0" showLastColumn="0" showRowStripes="1" showColumnStripes="0"/>
</x:table>
</file>

<file path=xl/tables/table22.xml><?xml version="1.0" encoding="utf-8"?>
<x:table xmlns:x="http://schemas.openxmlformats.org/spreadsheetml/2006/main" id="20" name="Tbl16GlosasEPS" displayName="Tbl16GlosasEPS" ref="A4:B12">
  <x:tableColumns count="2">
    <x:tableColumn id="1" name="EPS"/>
    <x:tableColumn id="2" name="Registros"/>
  </x:tableColumns>
  <x:tableStyleInfo name="TableStyleMedium2" showFirstColumn="0" showLastColumn="0" showRowStripes="1" showColumnStripes="0"/>
</x:table>
</file>

<file path=xl/tables/table23.xml><?xml version="1.0" encoding="utf-8"?>
<x:table xmlns:x="http://schemas.openxmlformats.org/spreadsheetml/2006/main" id="21" name="Tbl17Glosasconceptos" displayName="Tbl17Glosasconceptos" ref="A4:B12">
  <x:tableColumns count="2">
    <x:tableColumn id="1" name="Concepto"/>
    <x:tableColumn id="2" name="Registros"/>
  </x:tableColumns>
  <x:tableStyleInfo name="TableStyleMedium2" showFirstColumn="0" showLastColumn="0" showRowStripes="1" showColumnStripes="0"/>
</x:table>
</file>

<file path=xl/tables/table24.xml><?xml version="1.0" encoding="utf-8"?>
<x:table xmlns:x="http://schemas.openxmlformats.org/spreadsheetml/2006/main" id="39" name="ResumenBiomedico" displayName="ResumenBiomedico" ref="A4:D13" headerRowCount="1" totalsRowCount="0" totalsRowShown="0">
  <x:autoFilter ref="A4:D13"/>
  <x:tableColumns count="4">
    <x:tableColumn id="1" name="Categoría documental"/>
    <x:tableColumn id="2" name="Registros"/>
    <x:tableColumn id="3" name="Participación"/>
    <x:tableColumn id="4" name="Alcance"/>
  </x:tableColumns>
  <x:tableStyleInfo name="TableStyleMedium2" showFirstColumn="0" showLastColumn="0" showRowStripes="1" showColumnStripes="0"/>
</x:table>
</file>

<file path=xl/tables/table25.xml><?xml version="1.0" encoding="utf-8"?>
<x:table xmlns:x="http://schemas.openxmlformats.org/spreadsheetml/2006/main" id="23" name="Tbl19Talentoausentismo" displayName="Tbl19Talentoausentismo" ref="A4:B9">
  <x:tableColumns count="2">
    <x:tableColumn id="1" name="Categoría"/>
    <x:tableColumn id="2" name="Registros"/>
  </x:tableColumns>
  <x:tableStyleInfo name="TableStyleMedium2" showFirstColumn="0" showLastColumn="0" showRowStripes="1" showColumnStripes="0"/>
</x:table>
</file>

<file path=xl/tables/table26.xml><?xml version="1.0" encoding="utf-8"?>
<x:table xmlns:x="http://schemas.openxmlformats.org/spreadsheetml/2006/main" id="24" name="TblMatrizEscenarios" displayName="TblMatrizEscenarios" ref="A4:J7">
  <x:tableColumns count="10">
    <x:tableColumn id="1" name="Escenario"/>
    <x:tableColumn id="2" name="Sanitario"/>
    <x:tableColumn id="3" name="Acceso"/>
    <x:tableColumn id="4" name="Calidad"/>
    <x:tableColumn id="5" name="Financiero"/>
    <x:tableColumn id="6" name="Operativo"/>
    <x:tableColumn id="7" name="Jurídico"/>
    <x:tableColumn id="8" name="Riesgo implementación"/>
    <x:tableColumn id="9" name="Territorial"/>
    <x:tableColumn id="10" name="Puntaje ponderado"/>
  </x:tableColumns>
  <x:tableStyleInfo name="TableStyleMedium2" showFirstColumn="0" showLastColumn="0" showRowStripes="1" showColumnStripes="0"/>
</x:table>
</file>

<file path=xl/tables/table27.xml><?xml version="1.0" encoding="utf-8"?>
<x:table xmlns:x="http://schemas.openxmlformats.org/spreadsheetml/2006/main" id="40" name="ModeloFinanciero" displayName="ModeloFinanciero" ref="A15:J20" headerRowCount="1" totalsRowCount="0" totalsRowShown="0">
  <x:autoFilter ref="A15:J20"/>
  <x:tableColumns count="10">
    <x:tableColumn id="1" name="Año simulado"/>
    <x:tableColumn id="2" name="Pacientes estimados"/>
    <x:tableColumn id="3" name="Costo anual base"/>
    <x:tableColumn id="4" name="Costo proyectado"/>
    <x:tableColumn id="5" name="Glosa monetaria base"/>
    <x:tableColumn id="6" name="Glosa monetaria ajustada"/>
    <x:tableColumn id="7" name="Recaudo meta"/>
    <x:tableColumn id="8" name="Recaudo meta menos costo absorbido"/>
    <x:tableColumn id="9" name="Facturación simulada"/>
    <x:tableColumn id="10" name="Facturación menos costo"/>
  </x:tableColumns>
  <x:tableStyleInfo name="TableStyleMedium2" showFirstColumn="0" showLastColumn="0" showRowStripes="1" showColumnStripes="0"/>
</x:table>
</file>

<file path=xl/tables/table28.xml><?xml version="1.0" encoding="utf-8"?>
<x:table xmlns:x="http://schemas.openxmlformats.org/spreadsheetml/2006/main" id="27" name="TblSensibilidad" displayName="TblSensibilidad" ref="A4:C8">
  <x:tableColumns count="3">
    <x:tableColumn id="1" name="Escenario de sensibilidad"/>
    <x:tableColumn id="2" name="Supuesto crítico"/>
    <x:tableColumn id="3" name="Decisión gerencial"/>
  </x:tableColumns>
  <x:tableStyleInfo name="TableStyleMedium2" showFirstColumn="0" showLastColumn="0" showRowStripes="1" showColumnStripes="0"/>
</x:table>
</file>

<file path=xl/tables/table29.xml><?xml version="1.0" encoding="utf-8"?>
<x:table xmlns:x="http://schemas.openxmlformats.org/spreadsheetml/2006/main" id="28" name="TblIndicadores" displayName="TblIndicadores" ref="A4:F11">
  <x:tableColumns count="6">
    <x:tableColumn id="1" name="Indicador"/>
    <x:tableColumn id="2" name="Fuente"/>
    <x:tableColumn id="3" name="Meta sugerida"/>
    <x:tableColumn id="4" name="Periodicidad"/>
    <x:tableColumn id="5" name="Dimensión"/>
    <x:tableColumn id="6" name="Uso"/>
  </x:tableColumns>
  <x:tableStyleInfo name="TableStyleMedium2" showFirstColumn="0" showLastColumn="0" showRowStripes="1" showColumnStripes="0"/>
</x:table>
</file>

<file path=xl/tables/table30.xml><?xml version="1.0" encoding="utf-8"?>
<x:table xmlns:x="http://schemas.openxmlformats.org/spreadsheetml/2006/main" id="29" name="TblRiesgos" displayName="TblRiesgos" ref="A4:E9">
  <x:tableColumns count="5">
    <x:tableColumn id="1" name="Riesgo"/>
    <x:tableColumn id="2" name="Impacto"/>
    <x:tableColumn id="3" name="Mitigación prioritaria"/>
    <x:tableColumn id="4" name="Nivel"/>
    <x:tableColumn id="5" name="Probabilidad"/>
  </x:tableColumns>
  <x:tableStyleInfo name="TableStyleMedium2" showFirstColumn="0" showLastColumn="0" showRowStripes="1" showColumnStripes="0"/>
</x:table>
</file>

<file path=xl/tables/table31.xml><?xml version="1.0" encoding="utf-8"?>
<x:table xmlns:x="http://schemas.openxmlformats.org/spreadsheetml/2006/main" id="30" name="TblHojaRuta" displayName="TblHojaRuta" ref="A4:E10">
  <x:tableColumns count="5">
    <x:tableColumn id="1" name="Horizonte"/>
    <x:tableColumn id="2" name="Acción prioritaria"/>
    <x:tableColumn id="3" name="Producto"/>
    <x:tableColumn id="4" name="Responsable"/>
    <x:tableColumn id="5" name="Prioridad"/>
  </x:tableColumns>
  <x:tableStyleInfo name="TableStyleMedium2" showFirstColumn="0" showLastColumn="0" showRowStripes="1" showColumnStripes="0"/>
</x:table>
</file>

<file path=xl/tables/table32.xml><?xml version="1.0" encoding="utf-8"?>
<x:table xmlns:x="http://schemas.openxmlformats.org/spreadsheetml/2006/main" id="31" name="TblCumplimiento" displayName="TblCumplimiento" ref="A4:D12">
  <x:tableColumns count="4">
    <x:tableColumn id="1" name="Obligación / actividad"/>
    <x:tableColumn id="2" name="Evidencia"/>
    <x:tableColumn id="3" name="Ubicación"/>
    <x:tableColumn id="4" name="Estado"/>
  </x:tableColumns>
  <x:tableStyleInfo name="TableStyleMedium2" showFirstColumn="0" showLastColumn="0" showRowStripes="1" showColumnStripes="0"/>
</x:table>
</file>

<file path=xl/tables/table33.xml><?xml version="1.0" encoding="utf-8"?>
<x:table xmlns:x="http://schemas.openxmlformats.org/spreadsheetml/2006/main" id="32" name="TblNormativo" displayName="TblNormativo" ref="A4:C10">
  <x:tableColumns count="3">
    <x:tableColumn id="1" name="Norma / fuente"/>
    <x:tableColumn id="2" name="Aplicación al CAIMI"/>
    <x:tableColumn id="3" name="Uso en consultoría"/>
  </x:tableColumns>
  <x:tableStyleInfo name="TableStyleMedium2" showFirstColumn="0" showLastColumn="0" showRowStripes="1" showColumnStripes="0"/>
</x:table>
</file>

<file path=xl/tables/table34.xml><?xml version="1.0" encoding="utf-8"?>
<x:table xmlns:x="http://schemas.openxmlformats.org/spreadsheetml/2006/main" id="33" name="TblReferencias" displayName="TblReferencias" ref="A4:B14">
  <x:tableColumns count="2">
    <x:tableColumn id="1" name="Referencia"/>
    <x:tableColumn id="2" name="Archivo / fuente"/>
  </x:tableColumns>
  <x:tableStyleInfo name="TableStyleMedium2" showFirstColumn="0" showLastColumn="0" showRowStripes="1" showColumnStripes="0"/>
</x:table>
</file>

<file path=xl/tables/table35.xml><?xml version="1.0" encoding="utf-8"?>
<x:table xmlns:x="http://schemas.openxmlformats.org/spreadsheetml/2006/main" id="45" name="ProduccionMensual" displayName="ProduccionMensual" ref="A4:N12" headerRowCount="1" totalsRowCount="0" totalsRowShown="0">
  <x:autoFilter ref="A4:N12"/>
  <x:tableColumns count="14">
    <x:tableColumn id="1" name="Grupo"/>
    <x:tableColumn id="2" name="Ene"/>
    <x:tableColumn id="3" name="Feb"/>
    <x:tableColumn id="4" name="Mar"/>
    <x:tableColumn id="5" name="Abr"/>
    <x:tableColumn id="6" name="May"/>
    <x:tableColumn id="7" name="Jun"/>
    <x:tableColumn id="8" name="Jul"/>
    <x:tableColumn id="9" name="Ago"/>
    <x:tableColumn id="10" name="Sep"/>
    <x:tableColumn id="11" name="Oct"/>
    <x:tableColumn id="12" name="Nov"/>
    <x:tableColumn id="13" name="Dic"/>
    <x:tableColumn id="14" name="Total grupo"/>
  </x:tableColumns>
  <x:tableStyleInfo name="TableStyleMedium2" showFirstColumn="0" showLastColumn="0" showRowStripes="1" showColumnStripes="0"/>
</x:table>
</file>

<file path=xl/tables/table36.xml><?xml version="1.0" encoding="utf-8"?>
<x:table xmlns:x="http://schemas.openxmlformats.org/spreadsheetml/2006/main" id="35" name="TblConsistencia" displayName="TblConsistencia" ref="A4:D13">
  <x:tableColumns count="4">
    <x:tableColumn id="1" name="Dato"/>
    <x:tableColumn id="2" name="Valor"/>
    <x:tableColumn id="3" name="Entregables"/>
    <x:tableColumn id="4" name="Estado"/>
  </x:tableColumns>
  <x:tableStyleInfo name="TableStyleMedium2" showFirstColumn="0" showLastColumn="0" showRowStripes="1" showColumnStripes="0"/>
</x:table>
</file>

<file path=xl/tables/table37.xml><?xml version="1.0" encoding="utf-8"?>
<x:table xmlns:x="http://schemas.openxmlformats.org/spreadsheetml/2006/main" id="36" name="InventarioBiomedico" displayName="InventarioBiomedico" ref="A4:V198" headerRowCount="1" totalsRowCount="0" totalsRowShown="0">
  <x:autoFilter ref="A4:V198"/>
  <x:tableColumns count="22">
    <x:tableColumn id="1" name="Ítem"/>
    <x:tableColumn id="2" name="Equipo"/>
    <x:tableColumn id="3" name="Marca"/>
    <x:tableColumn id="4" name="Modelo"/>
    <x:tableColumn id="5" name="Serie fuente"/>
    <x:tableColumn id="6" name="Placa fuente"/>
    <x:tableColumn id="7" name="Servicio fuente"/>
    <x:tableColumn id="8" name="Observación original"/>
    <x:tableColumn id="9" name="Página inventario"/>
    <x:tableColumn id="10" name="Clasificación inicial"/>
    <x:tableColumn id="11" name="Clasificación consolidada"/>
    <x:tableColumn id="12" name="Ubicación informada"/>
    <x:tableColumn id="13" name="Vinculación"/>
    <x:tableColumn id="14" name="Condición técnica documentada"/>
    <x:tableColumn id="15" name="Fecha reporte"/>
    <x:tableColumn id="16" name="Reporte"/>
    <x:tableColumn id="17" name="Página certificación"/>
    <x:tableColumn id="18" name="Identidad / asociación"/>
    <x:tableColumn id="19" name="Gestión recomendada"/>
    <x:tableColumn id="20" name="Alertas de gestión (pueden superponerse)"/>
    <x:tableColumn id="21" name="Fuente técnica"/>
    <x:tableColumn id="22" name="ID del registro"/>
  </x:tableColumns>
  <x:tableStyleInfo name="TableStyleMedium1" showFirstColumn="0" showLastColumn="0" showRowStripes="1" showColumnStripes="0"/>
</x:table>
</file>

<file path=xl/tables/table38.xml><?xml version="1.0" encoding="utf-8"?>
<x:table xmlns:x="http://schemas.openxmlformats.org/spreadsheetml/2006/main" id="37" name="ConciliacionBiomedica" displayName="ConciliacionBiomedica" ref="A4:P19" headerRowCount="1" totalsRowCount="0" totalsRowShown="0">
  <x:autoFilter ref="A4:P19"/>
  <x:tableColumns count="16">
    <x:tableColumn id="1" name="Ítem"/>
    <x:tableColumn id="2" name="Equipo"/>
    <x:tableColumn id="3" name="Placa fuente"/>
    <x:tableColumn id="4" name="Serie fuente"/>
    <x:tableColumn id="5" name="Servicio inicial"/>
    <x:tableColumn id="6" name="Observación inicial"/>
    <x:tableColumn id="7" name="Reporte"/>
    <x:tableColumn id="8" name="Fecha"/>
    <x:tableColumn id="9" name="Página certificación"/>
    <x:tableColumn id="10" name="Método de vínculo"/>
    <x:tableColumn id="11" name="Ubicación según reporte"/>
    <x:tableColumn id="12" name="Condición según reporte"/>
    <x:tableColumn id="13" name="Estado consolidado"/>
    <x:tableColumn id="14" name="Nota de identidad"/>
    <x:tableColumn id="15" name="Acción técnica / documental"/>
    <x:tableColumn id="16" name="Alcance del cierre"/>
  </x:tableColumns>
  <x:tableStyleInfo name="TableStyleMedium1" showFirstColumn="0" showLastColumn="0" showRowStripes="1" showColumnStripes="0"/>
</x:table>
</file>

<file path=xl/tables/table39.xml><?xml version="1.0" encoding="utf-8"?>
<x:table xmlns:x="http://schemas.openxmlformats.org/spreadsheetml/2006/main" id="38" name="NotaCertificacion" displayName="NotaCertificacion" ref="A4:C22" headerRowCount="1" totalsRowCount="0" totalsRowShown="0">
  <x:autoFilter ref="A4:C22"/>
  <x:tableColumns count="3">
    <x:tableColumn id="1" name="Aspecto"/>
    <x:tableColumn id="2" name="Nota / tratamiento"/>
    <x:tableColumn id="3" name="Evidencia / alcance"/>
  </x:tableColumns>
  <x:tableStyleInfo name="TableStyleMedium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ddff2cba034a36" /></Relationships>
</file>

<file path=xl/worksheets/_rels/sheet2.xml.rels>&#65279;<?xml version="1.0" encoding="utf-8"?><Relationships xmlns="http://schemas.openxmlformats.org/package/2006/relationships"><Relationship Type="http://schemas.openxmlformats.org/officeDocument/2006/relationships/table" Target="/xl/tables/table2.xml" Id="R23eebeee129b4c0e" /></Relationships>
</file>

<file path=xl/worksheets/_rels/sheet3.xml.rels>&#65279;<?xml version="1.0" encoding="utf-8"?><Relationships xmlns="http://schemas.openxmlformats.org/package/2006/relationships"><Relationship Type="http://schemas.openxmlformats.org/officeDocument/2006/relationships/drawing" Target="/xl/drawings/drawing1.xml" Id="R85bf2c4139f74126" /><Relationship Type="http://schemas.openxmlformats.org/officeDocument/2006/relationships/table" Target="/xl/tables/table3.xml" Id="R2c57a509d7bf41d4" /><Relationship Type="http://schemas.openxmlformats.org/officeDocument/2006/relationships/table" Target="/xl/tables/table4.xml" Id="R104e6137a5a94f18" /><Relationship Type="http://schemas.openxmlformats.org/officeDocument/2006/relationships/table" Target="/xl/tables/table5.xml" Id="Rd691e1f687d24a9b" /><Relationship Type="http://schemas.openxmlformats.org/officeDocument/2006/relationships/table" Target="/xl/tables/table6.xml" Id="Radaa50572782472a" /><Relationship Type="http://schemas.openxmlformats.org/officeDocument/2006/relationships/table" Target="/xl/tables/table7.xml" Id="R3e8747563fd34e3e" /></Relationships>
</file>

<file path=xl/worksheets/_rels/sheet4.xml.rels>&#65279;<?xml version="1.0" encoding="utf-8"?><Relationships xmlns="http://schemas.openxmlformats.org/package/2006/relationships"><Relationship Type="http://schemas.openxmlformats.org/officeDocument/2006/relationships/table" Target="/xl/tables/table8.xml" Id="R639835c6a8294c49" /></Relationships>
</file>

<file path=xl/worksheets/_rels/sheet5.xml.rels>&#65279;<?xml version="1.0" encoding="utf-8"?><Relationships xmlns="http://schemas.openxmlformats.org/package/2006/relationships"><Relationship Type="http://schemas.openxmlformats.org/officeDocument/2006/relationships/table" Target="/xl/tables/table9.xml" Id="R727250ec6b4e4743" /></Relationships>
</file>

<file path=xl/worksheets/_rels/sheet6.xml.rels>&#65279;<?xml version="1.0" encoding="utf-8"?><Relationships xmlns="http://schemas.openxmlformats.org/package/2006/relationships"><Relationship Type="http://schemas.openxmlformats.org/officeDocument/2006/relationships/table" Target="/xl/tables/table10.xml" Id="R1c320d4794ee4b3b" /></Relationships>
</file>

<file path=xl/worksheets/_rels/sheet7.xml.rels>&#65279;<?xml version="1.0" encoding="utf-8"?><Relationships xmlns="http://schemas.openxmlformats.org/package/2006/relationships"><Relationship Type="http://schemas.openxmlformats.org/officeDocument/2006/relationships/drawing" Target="/xl/drawings/drawing2.xml" Id="Rd4d418e6e2ed427f" /><Relationship Type="http://schemas.openxmlformats.org/officeDocument/2006/relationships/table" Target="/xl/tables/table11.xml" Id="R936d54d3b75b498b" /></Relationships>
</file>

<file path=xl/worksheets/_rels/sheet8.xml.rels>&#65279;<?xml version="1.0" encoding="utf-8"?><Relationships xmlns="http://schemas.openxmlformats.org/package/2006/relationships"><Relationship Type="http://schemas.openxmlformats.org/officeDocument/2006/relationships/drawing" Target="/xl/drawings/drawing3.xml" Id="Rb0384242acd2441c" /><Relationship Type="http://schemas.openxmlformats.org/officeDocument/2006/relationships/table" Target="/xl/tables/table12.xml" Id="Rea404cc8377f465f" /></Relationships>
</file>

<file path=xl/worksheets/_rels/sheet9.xml.rels>&#65279;<?xml version="1.0" encoding="utf-8"?><Relationships xmlns="http://schemas.openxmlformats.org/package/2006/relationships"><Relationship Type="http://schemas.openxmlformats.org/officeDocument/2006/relationships/drawing" Target="/xl/drawings/drawing4.xml" Id="R024af06be733455d" /><Relationship Type="http://schemas.openxmlformats.org/officeDocument/2006/relationships/table" Target="/xl/tables/table13.xml" Id="R162dc0c1bf3d43b9" /></Relationships>
</file>

<file path=xl/worksheets/_rels/sheet10.xml.rels>&#65279;<?xml version="1.0" encoding="utf-8"?><Relationships xmlns="http://schemas.openxmlformats.org/package/2006/relationships"><Relationship Type="http://schemas.openxmlformats.org/officeDocument/2006/relationships/table" Target="/xl/tables/table14.xml" Id="R3102b5c3f9964d64" /><Relationship Type="http://schemas.openxmlformats.org/officeDocument/2006/relationships/table" Target="/xl/tables/table15.xml" Id="Rb3ecd1aefd0b40c4" /></Relationships>
</file>

<file path=xl/worksheets/_rels/sheet11.xml.rels>&#65279;<?xml version="1.0" encoding="utf-8"?><Relationships xmlns="http://schemas.openxmlformats.org/package/2006/relationships"><Relationship Type="http://schemas.openxmlformats.org/officeDocument/2006/relationships/table" Target="/xl/tables/table16.xml" Id="R41ad82dd95b74278" /><Relationship Type="http://schemas.openxmlformats.org/officeDocument/2006/relationships/table" Target="/xl/tables/table17.xml" Id="R2af76145c6f246dc" /></Relationships>
</file>

<file path=xl/worksheets/_rels/sheet12.xml.rels>&#65279;<?xml version="1.0" encoding="utf-8"?><Relationships xmlns="http://schemas.openxmlformats.org/package/2006/relationships"><Relationship Type="http://schemas.openxmlformats.org/officeDocument/2006/relationships/drawing" Target="/xl/drawings/drawing5.xml" Id="R7dd13c12be084a55" /><Relationship Type="http://schemas.openxmlformats.org/officeDocument/2006/relationships/table" Target="/xl/tables/table18.xml" Id="R66f23a691e524ab8" /></Relationships>
</file>

<file path=xl/worksheets/_rels/sheet13.xml.rels>&#65279;<?xml version="1.0" encoding="utf-8"?><Relationships xmlns="http://schemas.openxmlformats.org/package/2006/relationships"><Relationship Type="http://schemas.openxmlformats.org/officeDocument/2006/relationships/table" Target="/xl/tables/table19.xml" Id="R27aae6551e7c43c7" /></Relationships>
</file>

<file path=xl/worksheets/_rels/sheet14.xml.rels>&#65279;<?xml version="1.0" encoding="utf-8"?><Relationships xmlns="http://schemas.openxmlformats.org/package/2006/relationships"><Relationship Type="http://schemas.openxmlformats.org/officeDocument/2006/relationships/table" Target="/xl/tables/table20.xml" Id="Re2e56745f2a24437" /></Relationships>
</file>

<file path=xl/worksheets/_rels/sheet15.xml.rels>&#65279;<?xml version="1.0" encoding="utf-8"?><Relationships xmlns="http://schemas.openxmlformats.org/package/2006/relationships"><Relationship Type="http://schemas.openxmlformats.org/officeDocument/2006/relationships/table" Target="/xl/tables/table21.xml" Id="R0f69a7088bf244aa" /></Relationships>
</file>

<file path=xl/worksheets/_rels/sheet16.xml.rels>&#65279;<?xml version="1.0" encoding="utf-8"?><Relationships xmlns="http://schemas.openxmlformats.org/package/2006/relationships"><Relationship Type="http://schemas.openxmlformats.org/officeDocument/2006/relationships/drawing" Target="/xl/drawings/drawing6.xml" Id="R20914c03564e4eee" /><Relationship Type="http://schemas.openxmlformats.org/officeDocument/2006/relationships/table" Target="/xl/tables/table22.xml" Id="Rc0e35334f01c485e" /></Relationships>
</file>

<file path=xl/worksheets/_rels/sheet17.xml.rels>&#65279;<?xml version="1.0" encoding="utf-8"?><Relationships xmlns="http://schemas.openxmlformats.org/package/2006/relationships"><Relationship Type="http://schemas.openxmlformats.org/officeDocument/2006/relationships/table" Target="/xl/tables/table23.xml" Id="R85e127d102174abf" /></Relationships>
</file>

<file path=xl/worksheets/_rels/sheet18.xml.rels>&#65279;<?xml version="1.0" encoding="utf-8"?><Relationships xmlns="http://schemas.openxmlformats.org/package/2006/relationships"><Relationship Type="http://schemas.openxmlformats.org/officeDocument/2006/relationships/drawing" Target="/xl/drawings/drawing7.xml" Id="Rda11222e66f24e48" /><Relationship Type="http://schemas.openxmlformats.org/officeDocument/2006/relationships/table" Target="/xl/tables/table24.xml" Id="Rbb67d96fecfd4638" /></Relationships>
</file>

<file path=xl/worksheets/_rels/sheet19.xml.rels>&#65279;<?xml version="1.0" encoding="utf-8"?><Relationships xmlns="http://schemas.openxmlformats.org/package/2006/relationships"><Relationship Type="http://schemas.openxmlformats.org/officeDocument/2006/relationships/table" Target="/xl/tables/table25.xml" Id="R7eefede94600462d" /></Relationships>
</file>

<file path=xl/worksheets/_rels/sheet20.xml.rels>&#65279;<?xml version="1.0" encoding="utf-8"?><Relationships xmlns="http://schemas.openxmlformats.org/package/2006/relationships"><Relationship Type="http://schemas.openxmlformats.org/officeDocument/2006/relationships/drawing" Target="/xl/drawings/drawing8.xml" Id="R1e4b99148a894d05" /><Relationship Type="http://schemas.openxmlformats.org/officeDocument/2006/relationships/table" Target="/xl/tables/table26.xml" Id="Raedbb12fd34c4788" /></Relationships>
</file>

<file path=xl/worksheets/_rels/sheet21.xml.rels>&#65279;<?xml version="1.0" encoding="utf-8"?><Relationships xmlns="http://schemas.openxmlformats.org/package/2006/relationships"><Relationship Type="http://schemas.openxmlformats.org/officeDocument/2006/relationships/drawing" Target="/xl/drawings/drawing9.xml" Id="R4d4006845f754dda" /><Relationship Type="http://schemas.openxmlformats.org/officeDocument/2006/relationships/table" Target="/xl/tables/table27.xml" Id="R9924f51619794aad" /></Relationships>
</file>

<file path=xl/worksheets/_rels/sheet22.xml.rels>&#65279;<?xml version="1.0" encoding="utf-8"?><Relationships xmlns="http://schemas.openxmlformats.org/package/2006/relationships"><Relationship Type="http://schemas.openxmlformats.org/officeDocument/2006/relationships/table" Target="/xl/tables/table28.xml" Id="R0fedeeae06914fde" /></Relationships>
</file>

<file path=xl/worksheets/_rels/sheet23.xml.rels>&#65279;<?xml version="1.0" encoding="utf-8"?><Relationships xmlns="http://schemas.openxmlformats.org/package/2006/relationships"><Relationship Type="http://schemas.openxmlformats.org/officeDocument/2006/relationships/table" Target="/xl/tables/table29.xml" Id="Rff75358677864302" /></Relationships>
</file>

<file path=xl/worksheets/_rels/sheet24.xml.rels>&#65279;<?xml version="1.0" encoding="utf-8"?><Relationships xmlns="http://schemas.openxmlformats.org/package/2006/relationships"><Relationship Type="http://schemas.openxmlformats.org/officeDocument/2006/relationships/table" Target="/xl/tables/table30.xml" Id="R53f020987f6e4568" /></Relationships>
</file>

<file path=xl/worksheets/_rels/sheet25.xml.rels>&#65279;<?xml version="1.0" encoding="utf-8"?><Relationships xmlns="http://schemas.openxmlformats.org/package/2006/relationships"><Relationship Type="http://schemas.openxmlformats.org/officeDocument/2006/relationships/table" Target="/xl/tables/table31.xml" Id="Rd9cb8a8fc1c34d5c" /></Relationships>
</file>

<file path=xl/worksheets/_rels/sheet26.xml.rels>&#65279;<?xml version="1.0" encoding="utf-8"?><Relationships xmlns="http://schemas.openxmlformats.org/package/2006/relationships"><Relationship Type="http://schemas.openxmlformats.org/officeDocument/2006/relationships/table" Target="/xl/tables/table32.xml" Id="R684f3f9b8a8345c5" /></Relationships>
</file>

<file path=xl/worksheets/_rels/sheet27.xml.rels>&#65279;<?xml version="1.0" encoding="utf-8"?><Relationships xmlns="http://schemas.openxmlformats.org/package/2006/relationships"><Relationship Type="http://schemas.openxmlformats.org/officeDocument/2006/relationships/table" Target="/xl/tables/table33.xml" Id="Rad202554950a4ddc" /></Relationships>
</file>

<file path=xl/worksheets/_rels/sheet28.xml.rels>&#65279;<?xml version="1.0" encoding="utf-8"?><Relationships xmlns="http://schemas.openxmlformats.org/package/2006/relationships"><Relationship Type="http://schemas.openxmlformats.org/officeDocument/2006/relationships/table" Target="/xl/tables/table34.xml" Id="Rd33d194200ea4d63" /></Relationships>
</file>

<file path=xl/worksheets/_rels/sheet29.xml.rels>&#65279;<?xml version="1.0" encoding="utf-8"?><Relationships xmlns="http://schemas.openxmlformats.org/package/2006/relationships"><Relationship Type="http://schemas.openxmlformats.org/officeDocument/2006/relationships/drawing" Target="/xl/drawings/drawing10.xml" Id="Rcd7c24ad633c4bf0" /><Relationship Type="http://schemas.openxmlformats.org/officeDocument/2006/relationships/table" Target="/xl/tables/table35.xml" Id="Rdfffd3198736476d" /></Relationships>
</file>

<file path=xl/worksheets/_rels/sheet30.xml.rels>&#65279;<?xml version="1.0" encoding="utf-8"?><Relationships xmlns="http://schemas.openxmlformats.org/package/2006/relationships"><Relationship Type="http://schemas.openxmlformats.org/officeDocument/2006/relationships/table" Target="/xl/tables/table36.xml" Id="R2efdab18c89e46c2" /></Relationships>
</file>

<file path=xl/worksheets/_rels/sheet32.xml.rels>&#65279;<?xml version="1.0" encoding="utf-8"?><Relationships xmlns="http://schemas.openxmlformats.org/package/2006/relationships"><Relationship Type="http://schemas.openxmlformats.org/officeDocument/2006/relationships/table" Target="/xl/tables/table37.xml" Id="Rd6f7bcab8fa04ba6" /></Relationships>
</file>

<file path=xl/worksheets/_rels/sheet33.xml.rels>&#65279;<?xml version="1.0" encoding="utf-8"?><Relationships xmlns="http://schemas.openxmlformats.org/package/2006/relationships"><Relationship Type="http://schemas.openxmlformats.org/officeDocument/2006/relationships/table" Target="/xl/tables/table38.xml" Id="Rc831d3929c5d4d91" /></Relationships>
</file>

<file path=xl/worksheets/_rels/sheet34.xml.rels>&#65279;<?xml version="1.0" encoding="utf-8"?><Relationships xmlns="http://schemas.openxmlformats.org/package/2006/relationships"><Relationship Type="http://schemas.openxmlformats.org/officeDocument/2006/relationships/table" Target="/xl/tables/table39.xml" Id="R0dec7f7e4f7f4bc4" /></Relationships>
</file>

<file path=xl/worksheets/sheet1.xml><?xml version="1.0" encoding="utf-8"?>
<x:worksheet xmlns:x="http://schemas.openxmlformats.org/spreadsheetml/2006/main">
  <x:sheetFormatPr baseColWidth="10" defaultColWidth="9" defaultRowHeight="14"/>
  <x:cols>
    <x:col min="1" max="1" width="24" customWidth="1"/>
    <x:col min="2" max="2" width="95" hidden="0" customWidth="1"/>
  </x:cols>
  <x:sheetData>
    <x:row r="1" ht="18.649999618530273" customHeight="1">
      <x:c r="A1" s="25" t="s">
        <x:v>0</x:v>
      </x:c>
      <x:c r="B1" s="24"/>
      <x:c r="C1" s="24"/>
      <x:c r="D1" s="24"/>
      <x:c r="E1" s="24"/>
      <x:c r="F1" s="24"/>
      <x:c r="G1" s="24"/>
      <x:c r="H1" s="24"/>
    </x:row>
    <x:row r="2" ht="14.649999618530273" customHeight="1">
      <x:c r="A2" s="23" t="s">
        <x:v>1</x:v>
      </x:c>
      <x:c r="B2" s="24"/>
      <x:c r="C2" s="24"/>
      <x:c r="D2" s="24"/>
      <x:c r="E2" s="24"/>
      <x:c r="F2" s="24"/>
      <x:c r="G2" s="24"/>
      <x:c r="H2" s="24"/>
    </x:row>
    <x:row r="4" ht="10" customHeight="1">
      <x:c r="A4" s="1" t="s">
        <x:v>2</x:v>
      </x:c>
      <x:c r="B4" s="1" t="s">
        <x:v>3</x:v>
      </x:c>
    </x:row>
    <x:row r="5" ht="34" customHeight="1">
      <x:c r="A5" s="2" t="s">
        <x:v>4</x:v>
      </x:c>
      <x:c r="B5" s="2" t="s">
        <x:v>5</x:v>
      </x:c>
    </x:row>
    <x:row r="6" ht="34" customHeight="1">
      <x:c r="A6" s="2" t="s">
        <x:v>6</x:v>
      </x:c>
      <x:c r="B6" s="2" t="s">
        <x:v>7</x:v>
      </x:c>
    </x:row>
    <x:row r="7" ht="34" customHeight="1">
      <x:c r="A7" s="2" t="s">
        <x:v>8</x:v>
      </x:c>
      <x:c r="B7" s="2" t="s">
        <x:v>9</x:v>
      </x:c>
    </x:row>
    <x:row r="8" ht="34" customHeight="1">
      <x:c r="A8" s="2" t="s">
        <x:v>10</x:v>
      </x:c>
      <x:c r="B8" s="103" t="d">
        <x:v>2026-10-27T00:00:00.000Z</x:v>
      </x:c>
    </x:row>
    <x:row r="9" ht="34" customHeight="1">
      <x:c r="A9" s="2" t="s">
        <x:v>11</x:v>
      </x:c>
      <x:c r="B9" s="2" t="str">
        <x:v>Actualización documental con certificación biomédica</x:v>
      </x:c>
    </x:row>
    <x:row r="10" ht="34" customHeight="1">
      <x:c r="A10" s="2" t="s">
        <x:v>12</x:v>
      </x:c>
      <x:c r="B10" s="2" t="str">
        <x:v>Corte financiero 30/06/2026; certificación 23/10/2026. Evidencia y reservas por registro.</x:v>
      </x:c>
    </x:row>
    <x:row r="16">
      <x:c r="B16" s="9"/>
    </x:row>
  </x:sheetData>
  <x:mergeCells>
    <x:mergeCell ref="A2:H2"/>
    <x:mergeCell ref="A1:H1"/>
  </x:mergeCells>
  <x:pageMargins left="0.7" right="0.7" top="0.75" bottom="0.75" header="0.3" footer="0.3"/>
  <x:tableParts count="1">
    <x:tablePart xmlns:r="http://schemas.openxmlformats.org/officeDocument/2006/relationships" r:id="Rc8ddff2cba034a36"/>
  </x:tableParts>
</x:worksheet>
</file>

<file path=xl/worksheets/sheet2.xml><?xml version="1.0" encoding="utf-8"?>
<x:worksheet xmlns:x="http://schemas.openxmlformats.org/spreadsheetml/2006/main">
  <x:sheetFormatPr baseColWidth="10" defaultColWidth="9" defaultRowHeight="14"/>
  <x:cols>
    <x:col min="1" max="1" width="14" customWidth="1"/>
    <x:col min="2" max="2" width="16" customWidth="1"/>
    <x:col min="3" max="3" width="70" customWidth="1"/>
    <x:col min="4" max="4" width="20" customWidth="1"/>
    <x:col min="5" max="5" width="18"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11</x:v>
      </x:c>
      <x:c r="B4" s="1" t="s">
        <x:v>13</x:v>
      </x:c>
      <x:c r="C4" s="1" t="s">
        <x:v>14</x:v>
      </x:c>
      <x:c r="D4" s="1" t="s">
        <x:v>15</x:v>
      </x:c>
      <x:c r="E4" s="1" t="s">
        <x:v>16</x:v>
      </x:c>
    </x:row>
    <x:row r="5" ht="19" customHeight="1">
      <x:c r="A5" s="2" t="s">
        <x:v>17</x:v>
      </x:c>
      <x:c r="B5" s="2" t="s">
        <x:v>18</x:v>
      </x:c>
      <x:c r="C5" s="2" t="s">
        <x:v>19</x:v>
      </x:c>
      <x:c r="D5" s="2" t="s">
        <x:v>20</x:v>
      </x:c>
      <x:c r="E5" s="2" t="s">
        <x:v>17</x:v>
      </x:c>
    </x:row>
    <x:row r="6">
      <x:c r="A6" s="2" t="s">
        <x:v>17</x:v>
      </x:c>
      <x:c r="B6" s="2" t="s">
        <x:v>18</x:v>
      </x:c>
      <x:c r="C6" s="2" t="s">
        <x:v>21</x:v>
      </x:c>
      <x:c r="D6" s="2" t="s">
        <x:v>20</x:v>
      </x:c>
      <x:c r="E6" s="2" t="s">
        <x:v>22</x:v>
      </x:c>
    </x:row>
    <x:row r="7">
      <x:c r="A7" t="s">
        <x:v>17</x:v>
      </x:c>
      <x:c r="B7" t="s">
        <x:v>23</x:v>
      </x:c>
      <x:c r="C7" t="s">
        <x:v>24</x:v>
      </x:c>
      <x:c r="D7" t="s">
        <x:v>20</x:v>
      </x:c>
      <x:c r="E7" t="s">
        <x:v>17</x:v>
      </x:c>
    </x:row>
    <x:row r="8" ht="72" customHeight="1">
      <x:c r="A8" s="105" t="str">
        <x:v>Actualización documental</x:v>
      </x:c>
      <x:c r="B8" s="106" t="d">
        <x:v>2026-10-27T00:00:00.000Z</x:v>
      </x:c>
      <x:c r="C8" s="105" t="str">
        <x:v>Conciliación biomédica individual, corrección de resúmenes, modelo y comparación reproducible; fuentes oficiales preservadas.</x:v>
      </x:c>
      <x:c r="D8" s="105" t="str">
        <x:v>Equipo consultor</x:v>
      </x:c>
      <x:c r="E8" s="105" t="str">
        <x:v>Productos actualizados para verificación de supervisión</x:v>
      </x:c>
    </x:row>
    <x:row r="16">
      <x:c r="B16" s="9"/>
    </x:row>
    <x:row r="17">
      <x:c r="A17" s="11"/>
      <x:c r="B17" s="11"/>
      <x:c r="C17" s="11"/>
      <x:c r="D17" s="11"/>
    </x:row>
  </x:sheetData>
  <x:mergeCells>
    <x:mergeCell ref="A2:H2"/>
    <x:mergeCell ref="A1:H1"/>
  </x:mergeCells>
  <x:pageMargins left="0.7" right="0.7" top="0.75" bottom="0.75" header="0.3" footer="0.3"/>
  <x:tableParts count="1">
    <x:tablePart xmlns:r="http://schemas.openxmlformats.org/officeDocument/2006/relationships" r:id="R23eebeee129b4c0e"/>
  </x:tableParts>
</x:worksheet>
</file>

<file path=xl/worksheets/sheet3.xml><?xml version="1.0" encoding="utf-8"?>
<x:worksheet xmlns:x="http://schemas.openxmlformats.org/spreadsheetml/2006/main">
  <x:sheetFormatPr baseColWidth="10" defaultColWidth="9" defaultRowHeight="14"/>
  <x:cols>
    <x:col min="1" max="1" width="24" customWidth="1"/>
    <x:col min="2" max="2" width="18" customWidth="1"/>
    <x:col min="3" max="3" width="70" customWidth="1"/>
    <x:col min="4" max="4" width="32" customWidth="1"/>
    <x:col min="5" max="5" width="18" customWidth="1"/>
    <x:col min="6" max="6" width="16" customWidth="1"/>
    <x:col min="8" max="8" width="24" customWidth="1"/>
    <x:col min="9" max="9" width="16"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25</x:v>
      </x:c>
      <x:c r="B4" s="1" t="s">
        <x:v>26</x:v>
      </x:c>
      <x:c r="C4" s="1" t="s">
        <x:v>27</x:v>
      </x:c>
      <x:c r="E4" s="1" t="s">
        <x:v>28</x:v>
      </x:c>
      <x:c r="F4" s="1" t="s">
        <x:v>29</x:v>
      </x:c>
    </x:row>
    <x:row r="5" ht="46" customHeight="1">
      <x:c r="A5" s="2" t="str">
        <x:v>Pacientes reportados por periodo</x:v>
      </x:c>
      <x:c r="B5" s="3" t="n">
        <x:f>SUM('07_Pacientes'!B5:B8)</x:f>
        <x:v>97583</x:v>
      </x:c>
      <x:c r="C5" s="2" t="str">
        <x:v>Suma 97.583; no corresponde a usuarios únicos globales</x:v>
      </x:c>
      <x:c r="E5" s="2" t="s">
        <x:v>30</x:v>
      </x:c>
      <x:c r="F5" s="4" t="n">
        <x:f>'20_Matriz_escenarios'!J5</x:f>
        <x:v>3.8874999999999997</x:v>
      </x:c>
    </x:row>
    <x:row r="6" ht="46" customHeight="1">
      <x:c r="A6" s="2" t="str">
        <x:v>Registros de producción</x:v>
      </x:c>
      <x:c r="B6" s="3" t="n">
        <x:f>SUM('08_Produccion_servicios'!B5:B14)</x:f>
        <x:v>730301</x:v>
      </x:c>
      <x:c r="C6" s="2" t="str">
        <x:v>730.301 registros del estadístico; universo distinto de RIPS</x:v>
      </x:c>
      <x:c r="E6" s="2" t="s">
        <x:v>31</x:v>
      </x:c>
      <x:c r="F6" s="4" t="n">
        <x:f>'20_Matriz_escenarios'!J6</x:f>
        <x:v>3.8624999999999994</x:v>
      </x:c>
    </x:row>
    <x:row r="7" ht="46" customHeight="1">
      <x:c r="A7" s="2" t="s">
        <x:v>32</x:v>
      </x:c>
      <x:c r="B7" s="3" t="n">
        <x:f>'12_Costos_CAIMI'!B7</x:f>
        <x:v>9828115932.47</x:v>
      </x:c>
      <x:c r="C7" s="2" t="s">
        <x:v>33</x:v>
      </x:c>
      <x:c r="E7" s="2" t="s">
        <x:v>34</x:v>
      </x:c>
      <x:c r="F7" s="4" t="n">
        <x:f>'20_Matriz_escenarios'!J7</x:f>
        <x:v>2.4999999999999996</x:v>
      </x:c>
    </x:row>
    <x:row r="8" ht="46" customHeight="1">
      <x:c r="A8" s="2" t="s">
        <x:v>35</x:v>
      </x:c>
      <x:c r="B8" s="3" t="n">
        <x:f>SUM('16_Glosas_EPS'!B5:B12)</x:f>
        <x:v>812</x:v>
      </x:c>
      <x:c r="C8" s="2" t="s">
        <x:v>36</x:v>
      </x:c>
    </x:row>
    <x:row r="9" ht="46" customHeight="1">
      <x:c r="A9" s="2" t="str">
        <x:v>Registros de inventario biomédico</x:v>
      </x:c>
      <x:c r="B9" s="3" t="n">
        <x:f>'18_Equipos_biomedicos'!B5</x:f>
        <x:v>194</x:v>
      </x:c>
      <x:c r="C9" s="2" t="str">
        <x:v>194 filas fuente; 15 anotaciones iniciales conciliadas con 14 reportes</x:v>
      </x:c>
    </x:row>
    <x:row r="10" ht="46" customHeight="1">
      <x:c r="A10" s="2" t="str">
        <x:v>Recomendación estratégica</x:v>
      </x:c>
      <x:c r="B10" s="3" t="s">
        <x:v>31</x:v>
      </x:c>
      <x:c r="C10" s="2" t="str">
        <x:v>Tercerización condicionada; no es líder aritmético bajo pesos uniformes</x:v>
      </x:c>
    </x:row>
    <x:row r="12" ht="10" customHeight="1">
      <x:c r="A12" s="1" t="s">
        <x:v>37</x:v>
      </x:c>
      <x:c r="B12" s="1" t="s">
        <x:v>38</x:v>
      </x:c>
      <x:c r="D12" s="1" t="s">
        <x:v>39</x:v>
      </x:c>
      <x:c r="E12" s="1" t="s">
        <x:v>40</x:v>
      </x:c>
      <x:c r="H12" s="1" t="s">
        <x:v>41</x:v>
      </x:c>
      <x:c r="I12" s="1" t="s">
        <x:v>42</x:v>
      </x:c>
    </x:row>
    <x:row r="13">
      <x:c r="A13" s="2" t="s">
        <x:v>43</x:v>
      </x:c>
      <x:c r="B13" s="3">
        <x:v>13131</x:v>
      </x:c>
      <x:c r="D13" s="2" t="s">
        <x:v>44</x:v>
      </x:c>
      <x:c r="E13" s="3">
        <x:v>368480</x:v>
      </x:c>
      <x:c r="H13" s="2" t="s">
        <x:v>45</x:v>
      </x:c>
      <x:c r="I13" s="3">
        <x:v>665</x:v>
      </x:c>
    </x:row>
    <x:row r="14">
      <x:c r="A14" s="2" t="s">
        <x:v>46</x:v>
      </x:c>
      <x:c r="B14" s="3">
        <x:v>39624</x:v>
      </x:c>
      <x:c r="D14" s="2" t="s">
        <x:v>47</x:v>
      </x:c>
      <x:c r="E14" s="3">
        <x:v>132756</x:v>
      </x:c>
      <x:c r="H14" s="2" t="s">
        <x:v>48</x:v>
      </x:c>
      <x:c r="I14" s="3">
        <x:v>89</x:v>
      </x:c>
    </x:row>
    <x:row r="15">
      <x:c r="A15" s="2" t="s">
        <x:v>49</x:v>
      </x:c>
      <x:c r="B15" s="3">
        <x:v>33630</x:v>
      </x:c>
      <x:c r="D15" s="2" t="s">
        <x:v>50</x:v>
      </x:c>
      <x:c r="E15" s="3">
        <x:v>123591</x:v>
      </x:c>
      <x:c r="H15" s="2" t="s">
        <x:v>51</x:v>
      </x:c>
      <x:c r="I15" s="3">
        <x:v>47</x:v>
      </x:c>
    </x:row>
    <x:row r="16">
      <x:c r="A16" s="2" t="s">
        <x:v>52</x:v>
      </x:c>
      <x:c r="B16" s="10">
        <x:v>11198</x:v>
      </x:c>
      <x:c r="D16" s="2" t="s">
        <x:v>53</x:v>
      </x:c>
      <x:c r="E16" s="3">
        <x:v>52014</x:v>
      </x:c>
      <x:c r="H16" s="2" t="s">
        <x:v>54</x:v>
      </x:c>
      <x:c r="I16" s="3">
        <x:v>5</x:v>
      </x:c>
    </x:row>
    <x:row r="17">
      <x:c r="D17" s="2" t="s">
        <x:v>55</x:v>
      </x:c>
      <x:c r="E17" s="3">
        <x:v>30807</x:v>
      </x:c>
      <x:c r="H17" s="2" t="s">
        <x:v>56</x:v>
      </x:c>
      <x:c r="I17" s="3">
        <x:v>2</x:v>
      </x:c>
    </x:row>
    <x:row r="20" ht="30" customHeight="1">
      <x:c r="A20" s="64" t="str">
        <x:v>La comparación uniforme de ocho criterios otorga una ligera ventaja a la continuidad optimizada (3,8875/5 frente a 3,8625/5). La tercerización se conserva como recomendación estratégica condicionada del estudio; esta comparación no demuestra su superioridad y exige verificar salvaguardas, costos y capacidad de implementación.</x:v>
      </x:c>
      <x:c r="B20" s="64"/>
      <x:c r="C20" s="64"/>
      <x:c r="D20" s="64"/>
      <x:c r="E20" s="64"/>
      <x:c r="F20" s="64"/>
      <x:c r="G20" s="64"/>
      <x:c r="H20" s="64"/>
      <x:c r="I20" s="64"/>
    </x:row>
    <x:row r="21" ht="30" customHeight="1">
      <x:c r="A21" s="64"/>
      <x:c r="B21" s="64"/>
      <x:c r="C21" s="64"/>
      <x:c r="D21" s="64"/>
      <x:c r="E21" s="64"/>
      <x:c r="F21" s="64"/>
      <x:c r="G21" s="64"/>
      <x:c r="H21" s="64"/>
      <x:c r="I21" s="64"/>
    </x:row>
    <x:row r="22" ht="30" customHeight="1">
      <x:c r="A22" s="64"/>
      <x:c r="B22" s="64"/>
      <x:c r="C22" s="64"/>
      <x:c r="D22" s="64"/>
      <x:c r="E22" s="64"/>
      <x:c r="F22" s="64"/>
      <x:c r="G22" s="64"/>
      <x:c r="H22" s="64"/>
      <x:c r="I22" s="64"/>
    </x:row>
  </x:sheetData>
  <x:mergeCells>
    <x:mergeCell ref="A2:H2"/>
    <x:mergeCell ref="A1:H1"/>
    <x:mergeCell ref="A20:I22"/>
  </x:mergeCells>
  <x:pageMargins left="0.7" right="0.7" top="0.75" bottom="0.75" header="0.3" footer="0.3"/>
  <x:drawing xmlns:r="http://schemas.openxmlformats.org/officeDocument/2006/relationships" r:id="R85bf2c4139f74126"/>
  <x:tableParts count="5">
    <x:tablePart xmlns:r="http://schemas.openxmlformats.org/officeDocument/2006/relationships" r:id="R2c57a509d7bf41d4"/>
    <x:tablePart xmlns:r="http://schemas.openxmlformats.org/officeDocument/2006/relationships" r:id="R104e6137a5a94f18"/>
    <x:tablePart xmlns:r="http://schemas.openxmlformats.org/officeDocument/2006/relationships" r:id="Rd691e1f687d24a9b"/>
    <x:tablePart xmlns:r="http://schemas.openxmlformats.org/officeDocument/2006/relationships" r:id="Radaa50572782472a"/>
    <x:tablePart xmlns:r="http://schemas.openxmlformats.org/officeDocument/2006/relationships" r:id="R3e8747563fd34e3e"/>
  </x:tableParts>
</x:worksheet>
</file>

<file path=xl/worksheets/sheet4.xml><?xml version="1.0" encoding="utf-8"?>
<x:worksheet xmlns:x="http://schemas.openxmlformats.org/spreadsheetml/2006/main">
  <x:sheetFormatPr baseColWidth="10" defaultColWidth="9" defaultRowHeight="14"/>
  <x:cols>
    <x:col min="1" max="1" width="28" customWidth="1"/>
    <x:col min="2" max="2" width="14" customWidth="1"/>
    <x:col min="3" max="3" width="18" customWidth="1"/>
    <x:col min="4" max="4" width="34" customWidth="1"/>
    <x:col min="5" max="5" width="16" customWidth="1"/>
    <x:col min="6" max="6" width="42"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57</x:v>
      </x:c>
      <x:c r="B4" s="1" t="s">
        <x:v>58</x:v>
      </x:c>
      <x:c r="C4" s="1" t="s">
        <x:v>37</x:v>
      </x:c>
      <x:c r="D4" s="1" t="s">
        <x:v>59</x:v>
      </x:c>
      <x:c r="E4" s="1" t="s">
        <x:v>60</x:v>
      </x:c>
      <x:c r="F4" s="1" t="s">
        <x:v>61</x:v>
      </x:c>
    </x:row>
    <x:row r="5" ht="19" customHeight="1">
      <x:c r="A5" s="2" t="s">
        <x:v>62</x:v>
      </x:c>
      <x:c r="B5" s="2" t="s">
        <x:v>63</x:v>
      </x:c>
      <x:c r="C5" s="2" t="s">
        <x:v>64</x:v>
      </x:c>
      <x:c r="D5" s="2" t="s">
        <x:v>65</x:v>
      </x:c>
      <x:c r="E5" s="2" t="s">
        <x:v>66</x:v>
      </x:c>
      <x:c r="F5" s="2" t="s">
        <x:v>67</x:v>
      </x:c>
    </x:row>
    <x:row r="6">
      <x:c r="A6" s="2" t="s">
        <x:v>68</x:v>
      </x:c>
      <x:c r="B6" s="2" t="s">
        <x:v>69</x:v>
      </x:c>
      <x:c r="C6" s="2" t="s">
        <x:v>64</x:v>
      </x:c>
      <x:c r="D6" s="2" t="s">
        <x:v>70</x:v>
      </x:c>
      <x:c r="E6" s="2" t="s">
        <x:v>66</x:v>
      </x:c>
      <x:c r="F6" s="2" t="s">
        <x:v>71</x:v>
      </x:c>
    </x:row>
    <x:row r="7" ht="28">
      <x:c r="A7" s="2" t="s">
        <x:v>72</x:v>
      </x:c>
      <x:c r="B7" s="2" t="s">
        <x:v>73</x:v>
      </x:c>
      <x:c r="C7" s="2" t="s">
        <x:v>74</x:v>
      </x:c>
      <x:c r="D7" s="2" t="s">
        <x:v>75</x:v>
      </x:c>
      <x:c r="E7" s="2" t="s">
        <x:v>66</x:v>
      </x:c>
      <x:c r="F7" s="2" t="s">
        <x:v>76</x:v>
      </x:c>
    </x:row>
    <x:row r="8">
      <x:c r="A8" s="2" t="s">
        <x:v>77</x:v>
      </x:c>
      <x:c r="B8" s="2" t="s">
        <x:v>73</x:v>
      </x:c>
      <x:c r="C8" s="2" t="s">
        <x:v>64</x:v>
      </x:c>
      <x:c r="D8" s="2" t="s">
        <x:v>78</x:v>
      </x:c>
      <x:c r="E8" s="2" t="s">
        <x:v>66</x:v>
      </x:c>
      <x:c r="F8" s="2" t="s">
        <x:v>79</x:v>
      </x:c>
    </x:row>
    <x:row r="9">
      <x:c r="A9" s="2" t="s">
        <x:v>80</x:v>
      </x:c>
      <x:c r="B9" s="2" t="s">
        <x:v>81</x:v>
      </x:c>
      <x:c r="C9" s="2" t="s">
        <x:v>82</x:v>
      </x:c>
      <x:c r="D9" s="2" t="s">
        <x:v>83</x:v>
      </x:c>
      <x:c r="E9" s="2" t="s">
        <x:v>84</x:v>
      </x:c>
      <x:c r="F9" s="2" t="s">
        <x:v>85</x:v>
      </x:c>
    </x:row>
    <x:row r="10">
      <x:c r="A10" s="2" t="s">
        <x:v>42</x:v>
      </x:c>
      <x:c r="B10" s="2" t="s">
        <x:v>86</x:v>
      </x:c>
      <x:c r="C10" s="2" t="s">
        <x:v>82</x:v>
      </x:c>
      <x:c r="D10" s="2" t="s">
        <x:v>87</x:v>
      </x:c>
      <x:c r="E10" s="2" t="s">
        <x:v>84</x:v>
      </x:c>
      <x:c r="F10" s="2" t="s">
        <x:v>88</x:v>
      </x:c>
    </x:row>
    <x:row r="11">
      <x:c r="A11" s="2" t="s">
        <x:v>89</x:v>
      </x:c>
      <x:c r="B11" s="2" t="s">
        <x:v>73</x:v>
      </x:c>
      <x:c r="C11" s="2" t="s">
        <x:v>64</x:v>
      </x:c>
      <x:c r="D11" s="2" t="s">
        <x:v>90</x:v>
      </x:c>
      <x:c r="E11" s="2" t="s">
        <x:v>66</x:v>
      </x:c>
      <x:c r="F11" s="2" t="s">
        <x:v>91</x:v>
      </x:c>
    </x:row>
    <x:row r="12">
      <x:c r="A12" s="2" t="s">
        <x:v>92</x:v>
      </x:c>
      <x:c r="B12" s="2" t="s">
        <x:v>93</x:v>
      </x:c>
      <x:c r="C12" s="2" t="s">
        <x:v>64</x:v>
      </x:c>
      <x:c r="D12" s="2" t="s">
        <x:v>94</x:v>
      </x:c>
      <x:c r="E12" s="2" t="s">
        <x:v>84</x:v>
      </x:c>
      <x:c r="F12" s="2" t="s">
        <x:v>95</x:v>
      </x:c>
    </x:row>
    <x:row r="13" ht="42">
      <x:c r="A13" s="11" t="s">
        <x:v>96</x:v>
      </x:c>
      <x:c r="B13" s="11" t="s">
        <x:v>86</x:v>
      </x:c>
      <x:c r="C13" s="11" t="s">
        <x:v>97</x:v>
      </x:c>
      <x:c r="D13" s="11" t="s">
        <x:v>98</x:v>
      </x:c>
      <x:c r="E13" s="11" t="s">
        <x:v>99</x:v>
      </x:c>
      <x:c r="F13" s="11" t="s">
        <x:v>100</x:v>
      </x:c>
    </x:row>
    <x:row r="14" ht="70" customHeight="1">
      <x:c r="A14" t="str">
        <x:v>Certificación y reportes biomédicos</x:v>
      </x:c>
      <x:c r="B14" t="str">
        <x:v>PDF</x:v>
      </x:c>
      <x:c r="C14" t="str">
        <x:v>Julio-octubre 2026</x:v>
      </x:c>
      <x:c r="D14" t="str">
        <x:v>Aclarar ubicación y estado por registro</x:v>
      </x:c>
      <x:c r="E14" t="str">
        <x:v>Fuente institucional</x:v>
      </x:c>
      <x:c r="F14" t="str">
        <x:v>14 reportes; 2 asociaciones descriptivas; 1 sin reporte individual</x:v>
      </x:c>
    </x:row>
    <x:row r="15" ht="70" customHeight="1">
      <x:c r="A15" t="str">
        <x:v>Inventario detallado conciliado</x:v>
      </x:c>
      <x:c r="B15" t="str">
        <x:v>Tabla de 194 registros</x:v>
      </x:c>
      <x:c r="C15" t="str">
        <x:v>Fuentes de fechas distintas</x:v>
      </x:c>
      <x:c r="D15" t="str">
        <x:v>Clasificación documental reproducible</x:v>
      </x:c>
      <x:c r="E15" t="str">
        <x:v>Con reservas individualizadas</x:v>
      </x:c>
      <x:c r="F15" t="str">
        <x:v>No activos únicos acreditados ni disponibilidad simultánea</x:v>
      </x:c>
    </x:row>
    <x:row r="16">
      <x:c r="B16" s="9"/>
    </x:row>
  </x:sheetData>
  <x:mergeCells>
    <x:mergeCell ref="A2:H2"/>
    <x:mergeCell ref="A1:H1"/>
  </x:mergeCells>
  <x:pageMargins left="0.7" right="0.7" top="0.75" bottom="0.75" header="0.3" footer="0.3"/>
  <x:tableParts count="1">
    <x:tablePart xmlns:r="http://schemas.openxmlformats.org/officeDocument/2006/relationships" r:id="R639835c6a8294c49"/>
  </x:tableParts>
</x:worksheet>
</file>

<file path=xl/worksheets/sheet5.xml><?xml version="1.0" encoding="utf-8"?>
<x:worksheet xmlns:x="http://schemas.openxmlformats.org/spreadsheetml/2006/main">
  <x:sheetFormatPr baseColWidth="10" defaultColWidth="9" defaultRowHeight="14"/>
  <x:cols>
    <x:col min="1" max="1" width="28" customWidth="1"/>
    <x:col min="2" max="2" width="22" customWidth="1"/>
    <x:col min="3" max="3" width="38" customWidth="1"/>
    <x:col min="4" max="4" width="18"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101</x:v>
      </x:c>
      <x:c r="B4" s="1" t="s">
        <x:v>102</x:v>
      </x:c>
      <x:c r="C4" s="1" t="s">
        <x:v>57</x:v>
      </x:c>
      <x:c r="D4" s="1" t="s">
        <x:v>16</x:v>
      </x:c>
    </x:row>
    <x:row r="5">
      <x:c r="A5" s="2" t="str">
        <x:v>Suma de pacientes reportados por periodo</x:v>
      </x:c>
      <x:c r="B5" s="5" t="n">
        <x:f>SUM('07_Pacientes'!B5:B8)</x:f>
        <x:v>97583</x:v>
      </x:c>
      <x:c r="C5" s="2" t="s">
        <x:v>103</x:v>
      </x:c>
      <x:c r="D5" s="2" t="str">
        <x:v>No únicos globales</x:v>
      </x:c>
    </x:row>
    <x:row r="6">
      <x:c r="A6" s="2" t="str">
        <x:v>Registros de producción</x:v>
      </x:c>
      <x:c r="B6" s="5" t="n">
        <x:f>SUM('08_Produccion_servicios'!B5:B14)</x:f>
        <x:v>730301</x:v>
      </x:c>
      <x:c r="C6" s="2" t="s">
        <x:v>104</x:v>
      </x:c>
      <x:c r="D6" s="2" t="str">
        <x:v>Conciliado con base aprobada</x:v>
      </x:c>
    </x:row>
    <x:row r="7">
      <x:c r="A7" s="2" t="s">
        <x:v>105</x:v>
      </x:c>
      <x:c r="B7" s="5" t="n">
        <x:f>SUM('09_Tendencia_mensual'!B5:B16)</x:f>
        <x:v>730301</x:v>
      </x:c>
      <x:c r="C7" s="2" t="s">
        <x:v>106</x:v>
      </x:c>
      <x:c r="D7" s="2" t="str">
        <x:v>Meses agregados de varias vigencias</x:v>
      </x:c>
    </x:row>
    <x:row r="8">
      <x:c r="A8" s="2" t="s">
        <x:v>35</x:v>
      </x:c>
      <x:c r="B8" s="5" t="n">
        <x:f>SUM('16_Glosas_EPS'!B5:B12)</x:f>
        <x:v>812</x:v>
      </x:c>
      <x:c r="C8" s="2" t="s">
        <x:v>107</x:v>
      </x:c>
      <x:c r="D8" s="2" t="s">
        <x:v>108</x:v>
      </x:c>
    </x:row>
    <x:row r="9">
      <x:c r="A9" s="2" t="str">
        <x:v>Registros de inventario</x:v>
      </x:c>
      <x:c r="B9" s="5" t="n">
        <x:f>'18_Equipos_biomedicos'!B5</x:f>
        <x:v>194</x:v>
      </x:c>
      <x:c r="C9" s="2" t="s">
        <x:v>109</x:v>
      </x:c>
      <x:c r="D9" s="2" t="str">
        <x:v>Detalle 194 filas; no activos únicos</x:v>
      </x:c>
    </x:row>
    <x:row r="10" ht="28">
      <x:c r="A10" s="2" t="s">
        <x:v>32</x:v>
      </x:c>
      <x:c r="B10" s="5" t="n">
        <x:f>'12_Costos_CAIMI'!B7</x:f>
        <x:v>9828115932.47</x:v>
      </x:c>
      <x:c r="C10" s="2" t="s">
        <x:v>110</x:v>
      </x:c>
      <x:c r="D10" s="2" t="s">
        <x:v>111</x:v>
      </x:c>
    </x:row>
    <x:row r="11">
      <x:c r="A11" s="2" t="str">
        <x:v>Mayor puntaje calculado</x:v>
      </x:c>
      <x:c r="B11" s="5" t="n">
        <x:f>MAX('20_Matriz_escenarios'!J5:J7)</x:f>
        <x:v>3.8874999999999997</x:v>
      </x:c>
      <x:c r="C11" s="2" t="s">
        <x:v>112</x:v>
      </x:c>
      <x:c r="D11" s="2" t="str">
        <x:v>Ponderación técnica uniforme</x:v>
      </x:c>
    </x:row>
    <x:row r="14" ht="34" customHeight="1">
      <x:c r="A14" s="105" t="str">
        <x:v>Control independiente</x:v>
      </x:c>
      <x:c r="B14" s="105" t="str">
        <x:v>Diferencia</x:v>
      </x:c>
      <x:c r="C14" s="105" t="str">
        <x:v>Referencia</x:v>
      </x:c>
      <x:c r="D14" s="105" t="str">
        <x:v>Estado</x:v>
      </x:c>
    </x:row>
    <x:row r="15" ht="34" customHeight="1">
      <x:c r="A15" s="105" t="str">
        <x:v>Clasificación biomédica vs filas</x:v>
      </x:c>
      <x:c r="B15" s="109" t="n">
        <x:f>SUM('18_Equipos_biomedicos'!B6:B13)-ROWS('32_Inventario_biomedico'!A5:A198)</x:f>
        <x:v>0</x:v>
      </x:c>
      <x:c r="C15" s="105" t="str">
        <x:v>Hoja 18 vs 32</x:v>
      </x:c>
      <x:c r="D15" s="105" t="str">
        <x:f>IF(ABS(B15)&lt;=0.01,"Coincide","Revisar")</x:f>
        <x:v>Coincide</x:v>
      </x:c>
    </x:row>
    <x:row r="16" ht="34" customHeight="1">
      <x:c r="A16" s="105" t="str">
        <x:v>Reportes vs 15 registros</x:v>
      </x:c>
      <x:c r="B16" s="110" t="n">
        <x:f>'18_Equipos_biomedicos'!B18+'18_Equipos_biomedicos'!B21-ROWS('33_Conciliacion_biomedica'!A5:A19)</x:f>
        <x:v>0</x:v>
      </x:c>
      <x:c r="C16" s="105" t="str">
        <x:v>Reportes+sin reporte</x:v>
      </x:c>
      <x:c r="D16" s="105" t="str">
        <x:f>IF(ABS(B16)&lt;=0.01,"Coincide","Revisar")</x:f>
        <x:v>Coincide</x:v>
      </x:c>
    </x:row>
    <x:row r="17" ht="34" customHeight="1">
      <x:c r="A17" s="105" t="str">
        <x:v>Costos 2026 detalle vs total</x:v>
      </x:c>
      <x:c r="B17" s="109" t="n">
        <x:f>SUM('13_Costos_por_centro'!N5:N13)-'31_Conciliacion_Costos'!C8</x:f>
        <x:v>0</x:v>
      </x:c>
      <x:c r="C17" s="105" t="str">
        <x:v>Hoja 13 vs 31</x:v>
      </x:c>
      <x:c r="D17" s="105" t="str">
        <x:f>IF(ABS(B17)&lt;=0.01,"Coincide","Revisar")</x:f>
        <x:v>Coincide</x:v>
      </x:c>
    </x:row>
    <x:row r="18" ht="34" customHeight="1">
      <x:c r="A18" s="105" t="str">
        <x:v>Resultado 2026 vs facturado-costo</x:v>
      </x:c>
      <x:c r="B18" s="109" t="n">
        <x:f>'31_Conciliacion_Costos'!E8-('31_Conciliacion_Costos'!D8-'31_Conciliacion_Costos'!C8)</x:f>
        <x:v>0</x:v>
      </x:c>
      <x:c r="C18" s="105" t="str">
        <x:v>Hoja 31</x:v>
      </x:c>
      <x:c r="D18" s="105" t="str">
        <x:f>IF(ABS(B18)&lt;=0.01,"Coincide","Revisar")</x:f>
        <x:v>Coincide</x:v>
      </x:c>
    </x:row>
    <x:row r="19" ht="34" customHeight="1">
      <x:c r="A19" s="105" t="str">
        <x:v>Base RIPS sexo vs principal</x:v>
      </x:c>
      <x:c r="B19" s="109" t="n">
        <x:f>SUM('10_Sexo_edad'!B5:B7)-371987</x:f>
        <x:v>0</x:v>
      </x:c>
      <x:c r="C19" s="105" t="str">
        <x:v>Hoja 10 vs total RIPS</x:v>
      </x:c>
      <x:c r="D19" s="105" t="str">
        <x:f>IF(ABS(B19)&lt;=0.01,"Coincide","Revisar")</x:f>
        <x:v>Coincide</x:v>
      </x:c>
    </x:row>
  </x:sheetData>
  <x:mergeCells>
    <x:mergeCell ref="A2:H2"/>
    <x:mergeCell ref="A1:H1"/>
  </x:mergeCells>
  <x:pageMargins left="0.7" right="0.7" top="0.75" bottom="0.75" header="0.3" footer="0.3"/>
  <x:tableParts count="1">
    <x:tablePart xmlns:r="http://schemas.openxmlformats.org/officeDocument/2006/relationships" r:id="R727250ec6b4e4743"/>
  </x:tableParts>
</x:worksheet>
</file>

<file path=xl/worksheets/sheet6.xml><?xml version="1.0" encoding="utf-8"?>
<x:worksheet xmlns:x="http://schemas.openxmlformats.org/spreadsheetml/2006/main">
  <x:sheetFormatPr baseColWidth="10" defaultColWidth="9" defaultRowHeight="14"/>
  <x:cols>
    <x:col min="1" max="1" width="24" customWidth="1"/>
    <x:col min="2" max="3" width="36" customWidth="1"/>
    <x:col min="4" max="4" width="5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113</x:v>
      </x:c>
      <x:c r="B4" s="1" t="s">
        <x:v>27</x:v>
      </x:c>
      <x:c r="C4" s="1" t="s">
        <x:v>114</x:v>
      </x:c>
      <x:c r="D4" s="1" t="s">
        <x:v>115</x:v>
      </x:c>
    </x:row>
    <x:row r="5" ht="54" customHeight="1">
      <x:c r="A5" s="2" t="s">
        <x:v>116</x:v>
      </x:c>
      <x:c r="B5" s="2" t="str">
        <x:v>Actualización sustentada con reservas específicas</x:v>
      </x:c>
      <x:c r="C5" s="2" t="str">
        <x:v>Glosas monetarias y recaudo no acreditados; soporte 8631 no individualizado</x:v>
      </x:c>
      <x:c r="D5" s="2" t="s">
        <x:v>117</x:v>
      </x:c>
    </x:row>
    <x:row r="6" ht="54" customHeight="1">
      <x:c r="A6" s="2" t="s">
        <x:v>118</x:v>
      </x:c>
      <x:c r="B6" s="2" t="str">
        <x:v>Conciliaciones derivadas corregidas</x:v>
      </x:c>
      <x:c r="C6" s="2" t="str">
        <x:v>Diferencia de costo fuente en urgencias 2026</x:v>
      </x:c>
      <x:c r="D6" s="2" t="str">
        <x:v>Conservar cifra oficial y solicitar explicación del componente</x:v>
      </x:c>
    </x:row>
    <x:row r="7" ht="54" customHeight="1">
      <x:c r="A7" s="2" t="s">
        <x:v>119</x:v>
      </x:c>
      <x:c r="B7" s="2" t="s">
        <x:v>120</x:v>
      </x:c>
      <x:c r="C7" s="2" t="s">
        <x:v>121</x:v>
      </x:c>
      <x:c r="D7" s="2" t="s">
        <x:v>122</x:v>
      </x:c>
    </x:row>
    <x:row r="8" ht="54" customHeight="1">
      <x:c r="A8" s="2" t="s">
        <x:v>123</x:v>
      </x:c>
      <x:c r="B8" s="2" t="s">
        <x:v>124</x:v>
      </x:c>
      <x:c r="C8" s="2" t="s">
        <x:v>125</x:v>
      </x:c>
      <x:c r="D8" s="2" t="s">
        <x:v>126</x:v>
      </x:c>
    </x:row>
    <x:row r="9" ht="54" customHeight="1">
      <x:c r="A9" s="2" t="s">
        <x:v>127</x:v>
      </x:c>
      <x:c r="B9" s="2" t="str">
        <x:v>Fórmulas y conteos trazables</x:v>
      </x:c>
      <x:c r="C9" s="2" t="s">
        <x:v>128</x:v>
      </x:c>
      <x:c r="D9" s="2" t="str">
        <x:v>Modelo de simulación con base anual 2025; pesos explícitos</x:v>
      </x:c>
    </x:row>
    <x:row r="16">
      <x:c r="B16" s="9"/>
    </x:row>
  </x:sheetData>
  <x:mergeCells>
    <x:mergeCell ref="A2:H2"/>
    <x:mergeCell ref="A1:H1"/>
  </x:mergeCells>
  <x:pageMargins left="0.7" right="0.7" top="0.75" bottom="0.75" header="0.3" footer="0.3"/>
  <x:tableParts count="1">
    <x:tablePart xmlns:r="http://schemas.openxmlformats.org/officeDocument/2006/relationships" r:id="R1c320d4794ee4b3b"/>
  </x:tableParts>
</x:worksheet>
</file>

<file path=xl/worksheets/sheet7.xml><?xml version="1.0" encoding="utf-8"?>
<x:worksheet xmlns:x="http://schemas.openxmlformats.org/spreadsheetml/2006/main">
  <x:sheetFormatPr baseColWidth="10" defaultColWidth="9" defaultRowHeight="14"/>
  <x:cols>
    <x:col min="1" max="1" width="24" customWidth="1"/>
    <x:col min="2" max="2" width="2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37</x:v>
      </x:c>
      <x:c r="B4" s="1" t="s">
        <x:v>129</x:v>
      </x:c>
    </x:row>
    <x:row r="5">
      <x:c r="A5" s="2" t="s">
        <x:v>43</x:v>
      </x:c>
      <x:c r="B5" s="3">
        <x:v>13131</x:v>
      </x:c>
    </x:row>
    <x:row r="6">
      <x:c r="A6" s="2" t="s">
        <x:v>46</x:v>
      </x:c>
      <x:c r="B6" s="3">
        <x:v>39624</x:v>
      </x:c>
    </x:row>
    <x:row r="7">
      <x:c r="A7" s="2" t="s">
        <x:v>49</x:v>
      </x:c>
      <x:c r="B7" s="3">
        <x:v>33630</x:v>
      </x:c>
    </x:row>
    <x:row r="8">
      <x:c r="A8" s="2" t="s">
        <x:v>52</x:v>
      </x:c>
      <x:c r="B8" s="3">
        <x:v>11198</x:v>
      </x:c>
    </x:row>
    <x:row r="11" ht="28" customHeight="1">
      <x:c r="A11" s="64" t="str">
        <x:v>Suma de reportados por periodo de ITEN3. Los 97.583 no son usuarios únicos globales. 2023 abarca noviembre-diciembre y 2026 enero-junio.</x:v>
      </x:c>
      <x:c r="B11" s="64"/>
      <x:c r="C11" s="64"/>
      <x:c r="D11" s="64"/>
      <x:c r="E11" s="64"/>
      <x:c r="F11" s="64"/>
      <x:c r="G11" s="64"/>
      <x:c r="H11" s="64"/>
    </x:row>
    <x:row r="12" ht="28" customHeight="1">
      <x:c r="A12" s="64"/>
      <x:c r="B12" s="64"/>
      <x:c r="C12" s="64"/>
      <x:c r="D12" s="64"/>
      <x:c r="E12" s="64"/>
      <x:c r="F12" s="64"/>
      <x:c r="G12" s="64"/>
      <x:c r="H12" s="64"/>
    </x:row>
    <x:row r="16">
      <x:c r="B16" s="9"/>
    </x:row>
  </x:sheetData>
  <x:mergeCells>
    <x:mergeCell ref="A2:H2"/>
    <x:mergeCell ref="A1:H1"/>
    <x:mergeCell ref="A11:H12"/>
  </x:mergeCells>
  <x:pageMargins left="0.7" right="0.7" top="0.75" bottom="0.75" header="0.3" footer="0.3"/>
  <x:drawing xmlns:r="http://schemas.openxmlformats.org/officeDocument/2006/relationships" r:id="Rd4d418e6e2ed427f"/>
  <x:tableParts count="1">
    <x:tablePart xmlns:r="http://schemas.openxmlformats.org/officeDocument/2006/relationships" r:id="R936d54d3b75b498b"/>
  </x:tableParts>
</x:worksheet>
</file>

<file path=xl/worksheets/sheet8.xml><?xml version="1.0" encoding="utf-8"?>
<x:worksheet xmlns:x="http://schemas.openxmlformats.org/spreadsheetml/2006/main">
  <x:sheetFormatPr baseColWidth="10" defaultColWidth="9" defaultRowHeight="14"/>
  <x:cols>
    <x:col min="1" max="1" width="38" customWidth="1"/>
    <x:col min="2" max="2" width="2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130</x:v>
      </x:c>
      <x:c r="B4" s="1" t="s">
        <x:v>40</x:v>
      </x:c>
    </x:row>
    <x:row r="5">
      <x:c r="A5" s="2" t="s">
        <x:v>44</x:v>
      </x:c>
      <x:c r="B5" s="3">
        <x:v>368480</x:v>
      </x:c>
    </x:row>
    <x:row r="6">
      <x:c r="A6" s="2" t="s">
        <x:v>47</x:v>
      </x:c>
      <x:c r="B6" s="3">
        <x:v>132756</x:v>
      </x:c>
    </x:row>
    <x:row r="7">
      <x:c r="A7" s="2" t="s">
        <x:v>50</x:v>
      </x:c>
      <x:c r="B7" s="3">
        <x:v>123591</x:v>
      </x:c>
    </x:row>
    <x:row r="8">
      <x:c r="A8" s="2" t="s">
        <x:v>53</x:v>
      </x:c>
      <x:c r="B8" s="3">
        <x:v>52014</x:v>
      </x:c>
    </x:row>
    <x:row r="9">
      <x:c r="A9" s="2" t="s">
        <x:v>55</x:v>
      </x:c>
      <x:c r="B9" s="3">
        <x:v>30807</x:v>
      </x:c>
    </x:row>
    <x:row r="10">
      <x:c r="A10" s="2" t="s">
        <x:v>131</x:v>
      </x:c>
      <x:c r="B10" s="3">
        <x:v>9777</x:v>
      </x:c>
    </x:row>
    <x:row r="11">
      <x:c r="A11" s="2" t="s">
        <x:v>132</x:v>
      </x:c>
      <x:c r="B11" s="3">
        <x:v>4698</x:v>
      </x:c>
    </x:row>
    <x:row r="12">
      <x:c r="A12" s="2" t="s">
        <x:v>133</x:v>
      </x:c>
      <x:c r="B12" s="3">
        <x:v>4456</x:v>
      </x:c>
    </x:row>
    <x:row r="13">
      <x:c r="A13" s="2" t="s">
        <x:v>61</x:v>
      </x:c>
      <x:c r="B13" s="3">
        <x:v>3627</x:v>
      </x:c>
    </x:row>
    <x:row r="14">
      <x:c r="A14" s="2" t="s">
        <x:v>134</x:v>
      </x:c>
      <x:c r="B14" s="3">
        <x:v>95</x:v>
      </x:c>
    </x:row>
    <x:row r="16">
      <x:c r="B16" s="9"/>
    </x:row>
  </x:sheetData>
  <x:mergeCells>
    <x:mergeCell ref="A2:H2"/>
    <x:mergeCell ref="A1:H1"/>
  </x:mergeCells>
  <x:pageMargins left="0.7" right="0.7" top="0.75" bottom="0.75" header="0.3" footer="0.3"/>
  <x:drawing xmlns:r="http://schemas.openxmlformats.org/officeDocument/2006/relationships" r:id="Rb0384242acd2441c"/>
  <x:tableParts count="1">
    <x:tablePart xmlns:r="http://schemas.openxmlformats.org/officeDocument/2006/relationships" r:id="Rea404cc8377f465f"/>
  </x:tableParts>
</x:worksheet>
</file>

<file path=xl/worksheets/sheet9.xml><?xml version="1.0" encoding="utf-8"?>
<x:worksheet xmlns:x="http://schemas.openxmlformats.org/spreadsheetml/2006/main">
  <x:sheetFormatPr baseColWidth="10" defaultColWidth="9" defaultRowHeight="14"/>
  <x:cols>
    <x:col min="1" max="1" width="14" customWidth="1"/>
    <x:col min="2" max="2" width="2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135</x:v>
      </x:c>
      <x:c r="B4" s="1" t="s">
        <x:v>40</x:v>
      </x:c>
    </x:row>
    <x:row r="5">
      <x:c r="A5" s="2" t="s">
        <x:v>136</x:v>
      </x:c>
      <x:c r="B5" s="3">
        <x:v>72983</x:v>
      </x:c>
    </x:row>
    <x:row r="6">
      <x:c r="A6" s="2" t="s">
        <x:v>137</x:v>
      </x:c>
      <x:c r="B6" s="3">
        <x:v>68043</x:v>
      </x:c>
    </x:row>
    <x:row r="7">
      <x:c r="A7" s="2" t="s">
        <x:v>138</x:v>
      </x:c>
      <x:c r="B7" s="3">
        <x:v>77125</x:v>
      </x:c>
    </x:row>
    <x:row r="8">
      <x:c r="A8" s="2" t="s">
        <x:v>139</x:v>
      </x:c>
      <x:c r="B8" s="3">
        <x:v>74681</x:v>
      </x:c>
    </x:row>
    <x:row r="9">
      <x:c r="A9" s="2" t="s">
        <x:v>140</x:v>
      </x:c>
      <x:c r="B9" s="3">
        <x:v>81690</x:v>
      </x:c>
    </x:row>
    <x:row r="10">
      <x:c r="A10" s="2" t="s">
        <x:v>141</x:v>
      </x:c>
      <x:c r="B10" s="3">
        <x:v>72665</x:v>
      </x:c>
    </x:row>
    <x:row r="11">
      <x:c r="A11" s="2" t="s">
        <x:v>142</x:v>
      </x:c>
      <x:c r="B11" s="3">
        <x:v>49161</x:v>
      </x:c>
    </x:row>
    <x:row r="12">
      <x:c r="A12" s="2" t="s">
        <x:v>143</x:v>
      </x:c>
      <x:c r="B12" s="3">
        <x:v>38676</x:v>
      </x:c>
    </x:row>
    <x:row r="13">
      <x:c r="A13" s="2" t="s">
        <x:v>144</x:v>
      </x:c>
      <x:c r="B13" s="3">
        <x:v>53276</x:v>
      </x:c>
    </x:row>
    <x:row r="14">
      <x:c r="A14" s="2" t="s">
        <x:v>145</x:v>
      </x:c>
      <x:c r="B14" s="3">
        <x:v>49424</x:v>
      </x:c>
    </x:row>
    <x:row r="15">
      <x:c r="A15" s="2" t="s">
        <x:v>146</x:v>
      </x:c>
      <x:c r="B15" s="3">
        <x:v>42716</x:v>
      </x:c>
    </x:row>
    <x:row r="16">
      <x:c r="A16" s="2" t="s">
        <x:v>147</x:v>
      </x:c>
      <x:c r="B16" s="10">
        <x:v>49861</x:v>
      </x:c>
    </x:row>
    <x:row r="19" ht="28" customHeight="1">
      <x:c r="A19" s="64" t="str">
        <x:v>La gráfica agrega los mismos meses de varias vigencias del estadístico. No representa una serie mensual exclusiva de 2026. Mantener filtros y periodo al interpretar.</x:v>
      </x:c>
      <x:c r="B19" s="64"/>
      <x:c r="C19" s="64"/>
      <x:c r="D19" s="64"/>
      <x:c r="E19" s="64"/>
      <x:c r="F19" s="64"/>
      <x:c r="G19" s="64"/>
      <x:c r="H19" s="64"/>
    </x:row>
    <x:row r="20" ht="28" customHeight="1">
      <x:c r="A20" s="64"/>
      <x:c r="B20" s="64"/>
      <x:c r="C20" s="64"/>
      <x:c r="D20" s="64"/>
      <x:c r="E20" s="64"/>
      <x:c r="F20" s="64"/>
      <x:c r="G20" s="64"/>
      <x:c r="H20" s="64"/>
    </x:row>
  </x:sheetData>
  <x:mergeCells>
    <x:mergeCell ref="A2:H2"/>
    <x:mergeCell ref="A1:H1"/>
    <x:mergeCell ref="A19:H20"/>
  </x:mergeCells>
  <x:pageMargins left="0.7" right="0.7" top="0.75" bottom="0.75" header="0.3" footer="0.3"/>
  <x:drawing xmlns:r="http://schemas.openxmlformats.org/officeDocument/2006/relationships" r:id="R024af06be733455d"/>
  <x:tableParts count="1">
    <x:tablePart xmlns:r="http://schemas.openxmlformats.org/officeDocument/2006/relationships" r:id="R162dc0c1bf3d43b9"/>
  </x:tableParts>
</x:worksheet>
</file>

<file path=xl/worksheets/sheet10.xml><?xml version="1.0" encoding="utf-8"?>
<x:worksheet xmlns:x="http://schemas.openxmlformats.org/spreadsheetml/2006/main">
  <x:sheetFormatPr baseColWidth="10" defaultColWidth="9" defaultRowHeight="14"/>
  <x:cols>
    <x:col min="1" max="1" width="40" hidden="0" customWidth="1"/>
    <x:col min="2" max="2" width="26" hidden="0" customWidth="1"/>
    <x:col min="3" max="3" width="24" hidden="0" customWidth="1"/>
    <x:col min="4" max="4" width="25"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34" customHeight="1">
      <x:c r="A4" s="57" t="str">
        <x:v>Sexo registrado</x:v>
      </x:c>
      <x:c r="B4" s="57" t="str">
        <x:v>Registros principales/egreso</x:v>
      </x:c>
      <x:c r="C4" s="57" t="str">
        <x:v>Usuarios del grupo</x:v>
      </x:c>
      <x:c r="D4" s="57" t="str">
        <x:v>Participación en registros</x:v>
      </x:c>
    </x:row>
    <x:row r="5" ht="32" customHeight="1">
      <x:c r="A5" s="45" t="str">
        <x:v>Femenino</x:v>
      </x:c>
      <x:c r="B5" s="59" t="n">
        <x:v>229407</x:v>
      </x:c>
      <x:c r="C5" s="59" t="n">
        <x:v>40016</x:v>
      </x:c>
      <x:c r="D5" s="60" t="n">
        <x:v>0.6167070354609167</x:v>
      </x:c>
    </x:row>
    <x:row r="6" ht="32" customHeight="1">
      <x:c r="A6" s="45" t="str">
        <x:v>Masculino</x:v>
      </x:c>
      <x:c r="B6" s="59" t="n">
        <x:v>142480</x:v>
      </x:c>
      <x:c r="C6" s="59" t="n">
        <x:v>28265</x:v>
      </x:c>
      <x:c r="D6" s="60" t="n">
        <x:v>0.3830241379403044</x:v>
      </x:c>
    </x:row>
    <x:row r="7" ht="32" customHeight="1">
      <x:c r="A7" s="45" t="str">
        <x:v>Sin dato</x:v>
      </x:c>
      <x:c r="B7" s="59" t="n">
        <x:v>100</x:v>
      </x:c>
      <x:c r="C7" s="59" t="n">
        <x:v>37</x:v>
      </x:c>
      <x:c r="D7" s="60" t="n">
        <x:v>0.0002688265987789896</x:v>
      </x:c>
    </x:row>
    <x:row r="8">
      <x:c r="A8" s="2"/>
      <x:c r="B8" s="100"/>
      <x:c r="C8" s="101"/>
    </x:row>
    <x:row r="9">
      <x:c r="A9" s="2"/>
      <x:c r="B9" s="100"/>
      <x:c r="C9" s="101"/>
    </x:row>
    <x:row r="10">
      <x:c r="A10" s="2"/>
      <x:c r="B10" s="100"/>
      <x:c r="C10" s="101"/>
    </x:row>
    <x:row r="11" ht="34" customHeight="1">
      <x:c r="A11" s="57" t="str">
        <x:v>Grupo de edad</x:v>
      </x:c>
      <x:c r="B11" s="102" t="str">
        <x:v>Registros principales/egreso</x:v>
      </x:c>
      <x:c r="C11" s="102" t="str">
        <x:v>Usuarios del grupo</x:v>
      </x:c>
      <x:c r="D11" s="57" t="str">
        <x:v>Participación en registros</x:v>
      </x:c>
    </x:row>
    <x:row r="12" ht="30" customHeight="1">
      <x:c r="A12" s="45" t="str">
        <x:v>60+ años</x:v>
      </x:c>
      <x:c r="B12" s="59" t="n">
        <x:v>85572</x:v>
      </x:c>
      <x:c r="C12" s="59" t="n">
        <x:v>13915</x:v>
      </x:c>
      <x:c r="D12" s="60" t="n">
        <x:v>0.23004029710715698</x:v>
      </x:c>
    </x:row>
    <x:row r="13" ht="30" customHeight="1">
      <x:c r="A13" s="45" t="str">
        <x:v>29-44 años</x:v>
      </x:c>
      <x:c r="B13" s="59" t="n">
        <x:v>71629</x:v>
      </x:c>
      <x:c r="C13" s="59" t="n">
        <x:v>14369</x:v>
      </x:c>
      <x:c r="D13" s="60" t="n">
        <x:v>0.19255780443940246</x:v>
      </x:c>
    </x:row>
    <x:row r="14" ht="30" customHeight="1">
      <x:c r="A14" s="45" t="str">
        <x:v>18-28 años</x:v>
      </x:c>
      <x:c r="B14" s="59" t="n">
        <x:v>71348</x:v>
      </x:c>
      <x:c r="C14" s="59" t="n">
        <x:v>13001</x:v>
      </x:c>
      <x:c r="D14" s="60" t="n">
        <x:v>0.1918024016968335</x:v>
      </x:c>
    </x:row>
    <x:row r="15" ht="30" customHeight="1">
      <x:c r="A15" s="45" t="str">
        <x:v>45-59 años</x:v>
      </x:c>
      <x:c r="B15" s="59" t="n">
        <x:v>53928</x:v>
      </x:c>
      <x:c r="C15" s="59" t="n">
        <x:v>11068</x:v>
      </x:c>
      <x:c r="D15" s="60" t="n">
        <x:v>0.1449728081895335</x:v>
      </x:c>
    </x:row>
    <x:row r="16" ht="30" customHeight="1">
      <x:c r="A16" s="45" t="str">
        <x:v>6-11 años</x:v>
      </x:c>
      <x:c r="B16" s="59" t="n">
        <x:v>29521</x:v>
      </x:c>
      <x:c r="C16" s="59" t="n">
        <x:v>5193</x:v>
      </x:c>
      <x:c r="D16" s="60" t="n">
        <x:v>0.07936030022554552</x:v>
      </x:c>
    </x:row>
    <x:row r="17" ht="30" customHeight="1">
      <x:c r="A17" s="45" t="str">
        <x:v>1-5 años</x:v>
      </x:c>
      <x:c r="B17" s="59" t="n">
        <x:v>28849</x:v>
      </x:c>
      <x:c r="C17" s="59" t="n">
        <x:v>4265</x:v>
      </x:c>
      <x:c r="D17" s="60" t="n">
        <x:v>0.07755378548175071</x:v>
      </x:c>
    </x:row>
    <x:row r="18" ht="30" customHeight="1">
      <x:c r="A18" s="45" t="str">
        <x:v>12-17 años</x:v>
      </x:c>
      <x:c r="B18" s="59" t="n">
        <x:v>26387</x:v>
      </x:c>
      <x:c r="C18" s="59" t="n">
        <x:v>4866</x:v>
      </x:c>
      <x:c r="D18" s="60" t="n">
        <x:v>0.07093527461981199</x:v>
      </x:c>
    </x:row>
    <x:row r="19" ht="30" customHeight="1">
      <x:c r="A19" s="45" t="str">
        <x:v>&lt;1 año</x:v>
      </x:c>
      <x:c r="B19" s="59" t="n">
        <x:v>4653</x:v>
      </x:c>
      <x:c r="C19" s="59" t="n">
        <x:v>1604</x:v>
      </x:c>
      <x:c r="D19" s="60" t="n">
        <x:v>0.012508501641186385</x:v>
      </x:c>
    </x:row>
    <x:row r="20" ht="30" customHeight="1">
      <x:c r="A20" s="45" t="str">
        <x:v>Sin dato</x:v>
      </x:c>
      <x:c r="B20" s="59" t="n">
        <x:v>100</x:v>
      </x:c>
      <x:c r="C20" s="59" t="n">
        <x:v>37</x:v>
      </x:c>
      <x:c r="D20" s="60" t="n">
        <x:v>0.0002688265987789896</x:v>
      </x:c>
    </x:row>
    <x:row r="23" ht="30" customHeight="1">
      <x:c r="A23" s="64" t="str">
        <x:v>Base RIPS al 30/06/2026, alcance principal/egreso: 371.987 registros; 68.318 usuarios únicos globales. Un usuario puede cambiar de grupo etario en varios periodos. No sumarlos como personas únicas. Los 97.583 de hoja 07 son reportados por periodo de otra base.</x:v>
      </x:c>
      <x:c r="B23" s="64"/>
      <x:c r="C23" s="64"/>
      <x:c r="D23" s="64"/>
    </x:row>
    <x:row r="24" ht="30" customHeight="1">
      <x:c r="A24" s="64"/>
      <x:c r="B24" s="64"/>
      <x:c r="C24" s="64"/>
      <x:c r="D24" s="64"/>
    </x:row>
    <x:row r="25" ht="30" customHeight="1">
      <x:c r="A25" s="64"/>
      <x:c r="B25" s="64"/>
      <x:c r="C25" s="64"/>
      <x:c r="D25" s="64"/>
    </x:row>
  </x:sheetData>
  <x:mergeCells>
    <x:mergeCell ref="A2:H2"/>
    <x:mergeCell ref="A1:H1"/>
    <x:mergeCell ref="A23:D25"/>
  </x:mergeCells>
  <x:pageMargins left="0.7" right="0.7" top="0.75" bottom="0.75" header="0.3" footer="0.3"/>
  <x:tableParts count="2">
    <x:tablePart xmlns:r="http://schemas.openxmlformats.org/officeDocument/2006/relationships" r:id="R3102b5c3f9964d64"/>
    <x:tablePart xmlns:r="http://schemas.openxmlformats.org/officeDocument/2006/relationships" r:id="Rb3ecd1aefd0b40c4"/>
  </x:tableParts>
</x:worksheet>
</file>

<file path=xl/worksheets/sheet11.xml><?xml version="1.0" encoding="utf-8"?>
<x:worksheet xmlns:x="http://schemas.openxmlformats.org/spreadsheetml/2006/main">
  <x:sheetFormatPr baseColWidth="10" defaultColWidth="9" defaultRowHeight="14"/>
  <x:cols>
    <x:col min="1" max="1" width="58" hidden="0" customWidth="1"/>
    <x:col min="2" max="2" width="24" hidden="0" customWidth="1"/>
    <x:col min="3" max="3" width="24" hidden="0" customWidth="1"/>
    <x:col min="4" max="4" width="25"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34" customHeight="1">
      <x:c r="A4" s="57" t="str">
        <x:v>Condición (etiqueta de fuente)</x:v>
      </x:c>
      <x:c r="B4" s="57" t="str">
        <x:v>Registros principales/egreso</x:v>
      </x:c>
      <x:c r="C4" s="57" t="str">
        <x:v>Usuarios del grupo</x:v>
      </x:c>
      <x:c r="D4" s="57" t="str">
        <x:v>Participación en registros</x:v>
      </x:c>
    </x:row>
    <x:row r="5" ht="32" customHeight="1">
      <x:c r="A5" s="45" t="str">
        <x:v>DIAGNOSTICO NO VALIDO</x:v>
      </x:c>
      <x:c r="B5" s="59" t="n">
        <x:v>71450</x:v>
      </x:c>
      <x:c r="C5" s="59" t="n">
        <x:v>26187</x:v>
      </x:c>
      <x:c r="D5" s="60" t="n">
        <x:v>0.19207660482758807</x:v>
      </x:c>
    </x:row>
    <x:row r="6" ht="32" customHeight="1">
      <x:c r="A6" s="45" t="str">
        <x:v>GASTROINTESTINAL</x:v>
      </x:c>
      <x:c r="B6" s="59" t="n">
        <x:v>59223</x:v>
      </x:c>
      <x:c r="C6" s="59" t="n">
        <x:v>15571</x:v>
      </x:c>
      <x:c r="D6" s="60" t="n">
        <x:v>0.159207176594881</x:v>
      </x:c>
    </x:row>
    <x:row r="7" ht="32" customHeight="1">
      <x:c r="A7" s="45" t="str">
        <x:v>INFECCIOSAS Y PARASITARIAS</x:v>
      </x:c>
      <x:c r="B7" s="59" t="n">
        <x:v>51206</x:v>
      </x:c>
      <x:c r="C7" s="59" t="n">
        <x:v>11035</x:v>
      </x:c>
      <x:c r="D7" s="60" t="n">
        <x:v>0.1376553481707694</x:v>
      </x:c>
    </x:row>
    <x:row r="8" ht="32" customHeight="1">
      <x:c r="A8" s="45" t="str">
        <x:v>OTORRINOLARINGOLOGIA</x:v>
      </x:c>
      <x:c r="B8" s="59" t="n">
        <x:v>26566</x:v>
      </x:c>
      <x:c r="C8" s="59" t="n">
        <x:v>11777</x:v>
      </x:c>
      <x:c r="D8" s="60" t="n">
        <x:v>0.07141647423162638</x:v>
      </x:c>
    </x:row>
    <x:row r="9" ht="32" customHeight="1">
      <x:c r="A9" s="45" t="str">
        <x:v>TRAUMATISMO</x:v>
      </x:c>
      <x:c r="B9" s="59" t="n">
        <x:v>25977</x:v>
      </x:c>
      <x:c r="C9" s="59" t="n">
        <x:v>9118</x:v>
      </x:c>
      <x:c r="D9" s="60" t="n">
        <x:v>0.06983308556481813</x:v>
      </x:c>
    </x:row>
    <x:row r="10" ht="32" customHeight="1">
      <x:c r="A10" s="45" t="str">
        <x:v>NEUMOLOGICO</x:v>
      </x:c>
      <x:c r="B10" s="59" t="n">
        <x:v>24485</x:v>
      </x:c>
      <x:c r="C10" s="59" t="n">
        <x:v>3077</x:v>
      </x:c>
      <x:c r="D10" s="60" t="n">
        <x:v>0.06582219271103561</x:v>
      </x:c>
    </x:row>
    <x:row r="11" ht="32" customHeight="1">
      <x:c r="A11" s="45" t="str">
        <x:v>URINARIO</x:v>
      </x:c>
      <x:c r="B11" s="59" t="n">
        <x:v>23777</x:v>
      </x:c>
      <x:c r="C11" s="59" t="n">
        <x:v>4226</x:v>
      </x:c>
      <x:c r="D11" s="60" t="n">
        <x:v>0.06391890039168036</x:v>
      </x:c>
    </x:row>
    <x:row r="12" ht="32" customHeight="1">
      <x:c r="A12" s="45" t="str">
        <x:v>CARDIOVASCULAR</x:v>
      </x:c>
      <x:c r="B12" s="59" t="n">
        <x:v>23066</x:v>
      </x:c>
      <x:c r="C12" s="59" t="n">
        <x:v>6440</x:v>
      </x:c>
      <x:c r="D12" s="60" t="n">
        <x:v>0.06200754327436174</x:v>
      </x:c>
    </x:row>
    <x:row r="13" ht="32" customHeight="1">
      <x:c r="A13" s="45" t="str">
        <x:v>MATERNO PERINATAL</x:v>
      </x:c>
      <x:c r="B13" s="59" t="n">
        <x:v>14809</x:v>
      </x:c>
      <x:c r="C13" s="59" t="n">
        <x:v>2654</x:v>
      </x:c>
      <x:c r="D13" s="60" t="n">
        <x:v>0.03981053101318057</x:v>
      </x:c>
    </x:row>
    <x:row r="14" ht="32" customHeight="1">
      <x:c r="A14" s="45" t="str">
        <x:v>ORTOPEDIA</x:v>
      </x:c>
      <x:c r="B14" s="59" t="n">
        <x:v>14041</x:v>
      </x:c>
      <x:c r="C14" s="59" t="n">
        <x:v>7114</x:v>
      </x:c>
      <x:c r="D14" s="60" t="n">
        <x:v>0.037745942734557926</x:v>
      </x:c>
    </x:row>
    <x:row r="15">
      <x:c r="A15" s="2"/>
      <x:c r="B15" s="3"/>
    </x:row>
    <x:row r="16">
      <x:c r="A16" s="2"/>
      <x:c r="B16" s="10"/>
    </x:row>
    <x:row r="17">
      <x:c r="A17" s="2"/>
      <x:c r="B17" s="3"/>
    </x:row>
    <x:row r="18" ht="34" customHeight="1">
      <x:c r="A18" s="57" t="str">
        <x:v>Episodio (etiqueta de fuente)</x:v>
      </x:c>
      <x:c r="B18" s="99" t="str">
        <x:v>Registros principales/egreso</x:v>
      </x:c>
      <x:c r="C18" s="57" t="str">
        <x:v>Usuarios del grupo</x:v>
      </x:c>
      <x:c r="D18" s="57" t="str">
        <x:v>Participación en registros</x:v>
      </x:c>
    </x:row>
    <x:row r="19" ht="38" customHeight="1">
      <x:c r="A19" s="45" t="str">
        <x:v>EXAMEN MEDICO GENERAL</x:v>
      </x:c>
      <x:c r="B19" s="59" t="n">
        <x:v>48039</x:v>
      </x:c>
      <x:c r="C19" s="59" t="n">
        <x:v>19383</x:v>
      </x:c>
      <x:c r="D19" s="60" t="n">
        <x:v>0.1291416097874388</x:v>
      </x:c>
    </x:row>
    <x:row r="20" ht="38" customHeight="1">
      <x:c r="A20" s="45" t="str">
        <x:v>INFECCIONES OTROS VIRUS</x:v>
      </x:c>
      <x:c r="B20" s="59" t="n">
        <x:v>38365</x:v>
      </x:c>
      <x:c r="C20" s="59" t="n">
        <x:v>7055</x:v>
      </x:c>
      <x:c r="D20" s="60" t="n">
        <x:v>0.10313532462155936</x:v>
      </x:c>
    </x:row>
    <x:row r="21" ht="38" customHeight="1">
      <x:c r="A21" s="45" t="str">
        <x:v>SIGNOS Y SINTOMAS GASTROINTESTINALES</x:v>
      </x:c>
      <x:c r="B21" s="59" t="n">
        <x:v>21798</x:v>
      </x:c>
      <x:c r="C21" s="59" t="n">
        <x:v>4836</x:v>
      </x:c>
      <x:c r="D21" s="60" t="n">
        <x:v>0.05859882200184415</x:v>
      </x:c>
    </x:row>
    <x:row r="22" ht="38" customHeight="1">
      <x:c r="A22" s="45" t="str">
        <x:v>DIARREA Y GASTROENTERITIS DE PRESUNTO ORIGEN INFECCIOSO</x:v>
      </x:c>
      <x:c r="B22" s="59" t="n">
        <x:v>16249</x:v>
      </x:c>
      <x:c r="C22" s="59" t="n">
        <x:v>5305</x:v>
      </x:c>
      <x:c r="D22" s="60" t="n">
        <x:v>0.04368163403559802</x:v>
      </x:c>
    </x:row>
    <x:row r="23" ht="38" customHeight="1">
      <x:c r="A23" s="45" t="str">
        <x:v>HIPERTENSION ARTERIAL - CRISIS HIPERTENSIVAS</x:v>
      </x:c>
      <x:c r="B23" s="59" t="n">
        <x:v>13006</x:v>
      </x:c>
      <x:c r="C23" s="59" t="n">
        <x:v>4497</x:v>
      </x:c>
      <x:c r="D23" s="60" t="n">
        <x:v>0.03496358743719539</x:v>
      </x:c>
    </x:row>
    <x:row r="24" ht="38" customHeight="1">
      <x:c r="A24" s="45" t="str">
        <x:v>INFECCION URINARIA</x:v>
      </x:c>
      <x:c r="B24" s="59" t="n">
        <x:v>11987</x:v>
      </x:c>
      <x:c r="C24" s="59" t="n">
        <x:v>2170</x:v>
      </x:c>
      <x:c r="D24" s="60" t="n">
        <x:v>0.03222424439563748</x:v>
      </x:c>
    </x:row>
    <x:row r="25" ht="38" customHeight="1">
      <x:c r="A25" s="45" t="str">
        <x:v>OSTEOMUSCULAR</x:v>
      </x:c>
      <x:c r="B25" s="59" t="n">
        <x:v>11529</x:v>
      </x:c>
      <x:c r="C25" s="59" t="n">
        <x:v>6021</x:v>
      </x:c>
      <x:c r="D25" s="60" t="n">
        <x:v>0.03099301857322971</x:v>
      </x:c>
    </x:row>
    <x:row r="26" ht="38" customHeight="1">
      <x:c r="A26" s="45" t="str">
        <x:v>ATENCION PRENATAL</x:v>
      </x:c>
      <x:c r="B26" s="59" t="n">
        <x:v>8966</x:v>
      </x:c>
      <x:c r="C26" s="59" t="n">
        <x:v>1527</x:v>
      </x:c>
      <x:c r="D26" s="60" t="n">
        <x:v>0.024102992846524205</x:v>
      </x:c>
    </x:row>
    <x:row r="27" ht="38" customHeight="1">
      <x:c r="A27" s="45" t="str">
        <x:v>NEUMONIA</x:v>
      </x:c>
      <x:c r="B27" s="59" t="n">
        <x:v>8408</x:v>
      </x:c>
      <x:c r="C27" s="59" t="n">
        <x:v>1066</x:v>
      </x:c>
      <x:c r="D27" s="60" t="n">
        <x:v>0.022602940425337444</x:v>
      </x:c>
    </x:row>
    <x:row r="28" ht="38" customHeight="1">
      <x:c r="A28" s="45" t="str">
        <x:v>ENFERMEDAD PULMONAR OBSTRUCTIVA CRONICA</x:v>
      </x:c>
      <x:c r="B28" s="59" t="n">
        <x:v>8360</x:v>
      </x:c>
      <x:c r="C28" s="59" t="n">
        <x:v>894</x:v>
      </x:c>
      <x:c r="D28" s="60" t="n">
        <x:v>0.022473903657923528</x:v>
      </x:c>
    </x:row>
    <x:row r="31" ht="32" customHeight="1">
      <x:c r="A31" s="64" t="str">
        <x:v>Universo principal/egreso: 371.987 registros y 68.318 usuarios únicos; todas las posiciones: 745.006 registros. Fuente: rips-v22-data.js del aplicativo aprobado, agregado al 30/06/2026. Usuarios de distintos grupos pueden superponerse. DIAGNOSTICO NO VALIDO conserva la etiqueta de fuente y requiere revisión; no se recodifica como atención válida.</x:v>
      </x:c>
      <x:c r="B31" s="64"/>
      <x:c r="C31" s="64"/>
      <x:c r="D31" s="64"/>
    </x:row>
    <x:row r="32" ht="32" customHeight="1">
      <x:c r="A32" s="64"/>
      <x:c r="B32" s="64"/>
      <x:c r="C32" s="64"/>
      <x:c r="D32" s="64"/>
    </x:row>
    <x:row r="33" ht="32" customHeight="1">
      <x:c r="A33" s="64"/>
      <x:c r="B33" s="64"/>
      <x:c r="C33" s="64"/>
      <x:c r="D33" s="64"/>
    </x:row>
  </x:sheetData>
  <x:mergeCells>
    <x:mergeCell ref="A2:H2"/>
    <x:mergeCell ref="A1:H1"/>
    <x:mergeCell ref="A31:D33"/>
  </x:mergeCells>
  <x:pageMargins left="0.7" right="0.7" top="0.75" bottom="0.75" header="0.3" footer="0.3"/>
  <x:tableParts count="2">
    <x:tablePart xmlns:r="http://schemas.openxmlformats.org/officeDocument/2006/relationships" r:id="R41ad82dd95b74278"/>
    <x:tablePart xmlns:r="http://schemas.openxmlformats.org/officeDocument/2006/relationships" r:id="R2af76145c6f246dc"/>
  </x:tableParts>
</x:worksheet>
</file>

<file path=xl/worksheets/sheet12.xml><?xml version="1.0" encoding="utf-8"?>
<x:worksheet xmlns:x="http://schemas.openxmlformats.org/spreadsheetml/2006/main">
  <x:sheetFormatPr baseColWidth="10" defaultColWidth="9" defaultRowHeight="14"/>
  <x:cols>
    <x:col min="1" max="1" width="28" customWidth="1"/>
    <x:col min="2" max="2" width="22" customWidth="1"/>
    <x:col min="3" max="3" width="15" customWidth="1"/>
    <x:col min="4" max="4" width="21" customWidth="1"/>
    <x:col min="5" max="5" width="27"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2" t="s">
        <x:v>148</x:v>
      </x:c>
      <x:c r="B4" s="12" t="s">
        <x:v>149</x:v>
      </x:c>
      <x:c r="C4" s="12"/>
      <x:c r="D4" s="12"/>
      <x:c r="E4" s="12"/>
    </x:row>
    <x:row r="5">
      <x:c r="A5" s="11" t="s">
        <x:v>150</x:v>
      </x:c>
      <x:c r="B5" s="16">
        <x:v>280816103.81999999</x:v>
      </x:c>
      <x:c r="C5" s="16"/>
      <x:c r="D5" s="16"/>
      <x:c r="E5" s="11"/>
    </x:row>
    <x:row r="6">
      <x:c r="A6" s="13" t="s">
        <x:v>46</x:v>
      </x:c>
      <x:c r="B6" s="17">
        <x:v>10656217666.73</x:v>
      </x:c>
      <x:c r="C6" s="17"/>
      <x:c r="D6" s="17"/>
      <x:c r="E6" s="13"/>
    </x:row>
    <x:row r="7">
      <x:c r="A7" s="11" t="s">
        <x:v>49</x:v>
      </x:c>
      <x:c r="B7" s="16">
        <x:v>9828115932.4699993</x:v>
      </x:c>
      <x:c r="C7" s="16"/>
      <x:c r="D7" s="16"/>
      <x:c r="E7" s="11"/>
    </x:row>
    <x:row r="8">
      <x:c r="A8" s="13" t="s">
        <x:v>151</x:v>
      </x:c>
      <x:c r="B8" s="17">
        <x:v>5250296535.4099998</x:v>
      </x:c>
      <x:c r="C8" s="17"/>
      <x:c r="D8" s="17"/>
      <x:c r="E8" s="13"/>
    </x:row>
    <x:row r="16">
      <x:c r="B16" s="9"/>
    </x:row>
  </x:sheetData>
  <x:mergeCells>
    <x:mergeCell ref="A2:H2"/>
    <x:mergeCell ref="A1:H1"/>
  </x:mergeCells>
  <x:pageMargins left="0.7" right="0.7" top="0.75" bottom="0.75" header="0.3" footer="0.3"/>
  <x:drawing xmlns:r="http://schemas.openxmlformats.org/officeDocument/2006/relationships" r:id="R7dd13c12be084a55"/>
  <x:tableParts count="1">
    <x:tablePart xmlns:r="http://schemas.openxmlformats.org/officeDocument/2006/relationships" r:id="R66f23a691e524ab8"/>
  </x:tableParts>
</x:worksheet>
</file>

<file path=xl/worksheets/sheet13.xml><?xml version="1.0" encoding="utf-8"?>
<x:worksheet xmlns:x="http://schemas.openxmlformats.org/spreadsheetml/2006/main">
  <x:sheetFormatPr baseColWidth="10" defaultColWidth="9" defaultRowHeight="14"/>
  <x:cols>
    <x:col min="1" max="1" width="17.33203125" customWidth="1"/>
    <x:col min="2" max="2" width="14.75" customWidth="1"/>
    <x:col min="3" max="3" width="22" customWidth="1"/>
    <x:col min="4" max="4" width="18" customWidth="1"/>
    <x:col min="5" max="5" width="16" customWidth="1"/>
    <x:col min="6" max="6" width="21" customWidth="1"/>
    <x:col min="7" max="7" width="23" customWidth="1"/>
    <x:col min="8" max="16" width="17.6640625"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37" t="s">
        <x:v>152</x:v>
      </x:c>
      <x:c r="B4" s="28" t="s">
        <x:v>153</x:v>
      </x:c>
      <x:c r="C4" s="28" t="s">
        <x:v>154</x:v>
      </x:c>
      <x:c r="D4" s="28" t="s">
        <x:v>155</x:v>
      </x:c>
      <x:c r="E4" s="28" t="s">
        <x:v>156</x:v>
      </x:c>
      <x:c r="F4" s="28" t="s">
        <x:v>157</x:v>
      </x:c>
      <x:c r="G4" s="28" t="s">
        <x:v>158</x:v>
      </x:c>
      <x:c r="H4" s="28" t="s">
        <x:v>159</x:v>
      </x:c>
      <x:c r="I4" s="28" t="s">
        <x:v>160</x:v>
      </x:c>
      <x:c r="J4" s="28" t="s">
        <x:v>161</x:v>
      </x:c>
      <x:c r="K4" s="28" t="s">
        <x:v>162</x:v>
      </x:c>
      <x:c r="L4" s="28" t="s">
        <x:v>163</x:v>
      </x:c>
      <x:c r="M4" s="28" t="s">
        <x:v>164</x:v>
      </x:c>
      <x:c r="N4" s="28" t="s">
        <x:v>165</x:v>
      </x:c>
      <x:c r="O4" s="28" t="s">
        <x:v>166</x:v>
      </x:c>
      <x:c r="P4" s="28" t="s">
        <x:v>167</x:v>
      </x:c>
      <x:c r="Q4" s="28" t="str">
        <x:v>Resultado / costo</x:v>
      </x:c>
    </x:row>
    <x:row r="5">
      <x:c r="A5" s="33" t="s">
        <x:v>168</x:v>
      </x:c>
      <x:c r="B5" s="28" t="s">
        <x:v>169</x:v>
      </x:c>
      <x:c r="C5" s="28" t="s">
        <x:v>170</x:v>
      </x:c>
      <x:c r="D5" s="28" t="s">
        <x:v>171</x:v>
      </x:c>
      <x:c r="E5" s="29">
        <x:v>70452739</x:v>
      </x:c>
      <x:c r="F5" s="29">
        <x:v>54819165.719999999</x:v>
      </x:c>
      <x:c r="G5" s="29">
        <x:v>46937602</x:v>
      </x:c>
      <x:c r="H5" s="29">
        <x:v>50444267.700000003</x:v>
      </x:c>
      <x:c r="I5" s="29">
        <x:v>1594836.61</x:v>
      </x:c>
      <x:c r="J5" s="29">
        <x:v>0</x:v>
      </x:c>
      <x:c r="K5" s="29">
        <x:v>0</x:v>
      </x:c>
      <x:c r="L5" s="29">
        <x:v>224248611.03</x:v>
      </x:c>
      <x:c r="M5" s="29">
        <x:v>35456535.780000001</x:v>
      </x:c>
      <x:c r="N5" s="29">
        <x:v>259705146.80000001</x:v>
      </x:c>
      <x:c r="O5" s="29">
        <x:v>688328769</x:v>
      </x:c>
      <x:c r="P5" s="29" t="n">
        <x:f t="shared" ref="P5" si="0">O5-N5</x:f>
        <x:v>428623622.2</x:v>
      </x:c>
      <x:c r="Q5" s="30" t="n">
        <x:f>P5/N5</x:f>
        <x:v>1.6504240577491704</x:v>
      </x:c>
    </x:row>
    <x:row r="6">
      <x:c r="A6" s="33" t="s">
        <x:v>168</x:v>
      </x:c>
      <x:c r="B6" s="28" t="s">
        <x:v>172</x:v>
      </x:c>
      <x:c r="C6" s="28" t="s">
        <x:v>173</x:v>
      </x:c>
      <x:c r="D6" s="28" t="s">
        <x:v>171</x:v>
      </x:c>
      <x:c r="E6" s="29">
        <x:v>66413145</x:v>
      </x:c>
      <x:c r="F6" s="29">
        <x:v>100433267.20999999</x:v>
      </x:c>
      <x:c r="G6" s="29">
        <x:v>50102789</x:v>
      </x:c>
      <x:c r="H6" s="29">
        <x:v>160159004</x:v>
      </x:c>
      <x:c r="I6" s="29">
        <x:v>70181.460000000006</x:v>
      </x:c>
      <x:c r="J6" s="29">
        <x:v>0</x:v>
      </x:c>
      <x:c r="K6" s="29">
        <x:v>2236925641</x:v>
      </x:c>
      <x:c r="L6" s="29">
        <x:v>2614104027.6700001</x:v>
      </x:c>
      <x:c r="M6" s="29">
        <x:v>36101222.060000002</x:v>
      </x:c>
      <x:c r="N6" s="29">
        <x:v>2650205249.7199998</x:v>
      </x:c>
      <x:c r="O6" s="29" t="n">
        <x:f>773662991+41700000+405746434+130431828+586004700</x:f>
        <x:v>1937545953</x:v>
      </x:c>
      <x:c r="P6" s="29" t="n">
        <x:f>O6-N6</x:f>
        <x:v>-712659296.7199998</x:v>
      </x:c>
      <x:c r="Q6" s="31" t="n">
        <x:f t="shared" ref="Q6:Q12" si="1">P6/N6</x:f>
        <x:v>-0.2689072089021384</x:v>
      </x:c>
    </x:row>
    <x:row r="7">
      <x:c r="A7" s="33" t="s">
        <x:v>168</x:v>
      </x:c>
      <x:c r="B7" s="28" t="s">
        <x:v>174</x:v>
      </x:c>
      <x:c r="C7" s="28" t="s">
        <x:v>175</x:v>
      </x:c>
      <x:c r="D7" s="28" t="s">
        <x:v>171</x:v>
      </x:c>
      <x:c r="E7" s="29">
        <x:v>321963</x:v>
      </x:c>
      <x:c r="F7" s="29">
        <x:v>23454128.219999999</x:v>
      </x:c>
      <x:c r="G7" s="29">
        <x:v>17372616</x:v>
      </x:c>
      <x:c r="H7" s="29">
        <x:v>20414776</x:v>
      </x:c>
      <x:c r="I7" s="29">
        <x:v>0</x:v>
      </x:c>
      <x:c r="J7" s="29">
        <x:v>0</x:v>
      </x:c>
      <x:c r="K7" s="29">
        <x:v>0</x:v>
      </x:c>
      <x:c r="L7" s="29">
        <x:v>61563483.219999999</x:v>
      </x:c>
      <x:c r="M7" s="29">
        <x:v>7921133.3300000001</x:v>
      </x:c>
      <x:c r="N7" s="29">
        <x:v>69484616.549999997</x:v>
      </x:c>
      <x:c r="O7" s="29">
        <x:v>69233016</x:v>
      </x:c>
      <x:c r="P7" s="29" t="n">
        <x:f t="shared" ref="P7:P12" si="2">O7-N7</x:f>
        <x:v>-251600.54999999702</x:v>
      </x:c>
      <x:c r="Q7" s="30">
        <x:f t="shared" si="1"/>
        <x:v>-3.6209532770314617E-3</x:v>
      </x:c>
    </x:row>
    <x:row r="8">
      <x:c r="A8" s="33" t="s">
        <x:v>168</x:v>
      </x:c>
      <x:c r="B8" s="28" t="s">
        <x:v>176</x:v>
      </x:c>
      <x:c r="C8" s="28" t="s">
        <x:v>177</x:v>
      </x:c>
      <x:c r="D8" s="28" t="s">
        <x:v>171</x:v>
      </x:c>
      <x:c r="E8" s="29">
        <x:v>25176683</x:v>
      </x:c>
      <x:c r="F8" s="29">
        <x:v>102490472.12</x:v>
      </x:c>
      <x:c r="G8" s="29">
        <x:v>23547289</x:v>
      </x:c>
      <x:c r="H8" s="29">
        <x:v>67587926</x:v>
      </x:c>
      <x:c r="I8" s="29">
        <x:v>0</x:v>
      </x:c>
      <x:c r="J8" s="29">
        <x:v>0</x:v>
      </x:c>
      <x:c r="K8" s="29">
        <x:v>384413</x:v>
      </x:c>
      <x:c r="L8" s="29">
        <x:v>219186783.12</x:v>
      </x:c>
      <x:c r="M8" s="29">
        <x:v>4607270.09</x:v>
      </x:c>
      <x:c r="N8" s="29">
        <x:v>223794053.22</x:v>
      </x:c>
      <x:c r="O8" s="29">
        <x:v>140840593</x:v>
      </x:c>
      <x:c r="P8" s="29">
        <x:f t="shared" si="2"/>
        <x:v>-82953460.219999999</x:v>
      </x:c>
      <x:c r="Q8" s="30">
        <x:f t="shared" si="1"/>
        <x:v>-0.37066874220492746</x:v>
      </x:c>
    </x:row>
    <x:row r="9">
      <x:c r="A9" s="33" t="s">
        <x:v>168</x:v>
      </x:c>
      <x:c r="B9" s="28" t="s">
        <x:v>178</x:v>
      </x:c>
      <x:c r="C9" s="28" t="s">
        <x:v>179</x:v>
      </x:c>
      <x:c r="D9" s="28" t="s">
        <x:v>171</x:v>
      </x:c>
      <x:c r="E9" s="29">
        <x:v>250165</x:v>
      </x:c>
      <x:c r="F9" s="29">
        <x:v>11562524.470000001</x:v>
      </x:c>
      <x:c r="G9" s="29">
        <x:v>0</x:v>
      </x:c>
      <x:c r="H9" s="29">
        <x:v>5988552</x:v>
      </x:c>
      <x:c r="I9" s="29">
        <x:v>713300.5</x:v>
      </x:c>
      <x:c r="J9" s="29">
        <x:v>0</x:v>
      </x:c>
      <x:c r="K9" s="29">
        <x:v>0</x:v>
      </x:c>
      <x:c r="L9" s="29">
        <x:v>18514541.969999999</x:v>
      </x:c>
      <x:c r="M9" s="29">
        <x:v>2430821.66</x:v>
      </x:c>
      <x:c r="N9" s="29">
        <x:v>20945363.609999999</x:v>
      </x:c>
      <x:c r="O9" s="29">
        <x:v>257175844</x:v>
      </x:c>
      <x:c r="P9" s="29">
        <x:f t="shared" si="2"/>
        <x:v>236230480.38999999</x:v>
      </x:c>
      <x:c r="Q9" s="30">
        <x:f t="shared" si="1"/>
        <x:v>11.27841391482055</x:v>
      </x:c>
    </x:row>
    <x:row r="10">
      <x:c r="A10" s="33" t="s">
        <x:v>168</x:v>
      </x:c>
      <x:c r="B10" s="28" t="s">
        <x:v>180</x:v>
      </x:c>
      <x:c r="C10" s="28" t="s">
        <x:v>181</x:v>
      </x:c>
      <x:c r="D10" s="28" t="s">
        <x:v>171</x:v>
      </x:c>
      <x:c r="E10" s="29">
        <x:v>6127953</x:v>
      </x:c>
      <x:c r="F10" s="29">
        <x:v>36617285.119999997</x:v>
      </x:c>
      <x:c r="G10" s="29">
        <x:v>0</x:v>
      </x:c>
      <x:c r="H10" s="29">
        <x:v>51897877</x:v>
      </x:c>
      <x:c r="I10" s="29">
        <x:v>382111.56</x:v>
      </x:c>
      <x:c r="J10" s="29">
        <x:v>0</x:v>
      </x:c>
      <x:c r="K10" s="29">
        <x:v>3242341</x:v>
      </x:c>
      <x:c r="L10" s="29">
        <x:v>98267567.680000007</x:v>
      </x:c>
      <x:c r="M10" s="29">
        <x:v>652361.04</x:v>
      </x:c>
      <x:c r="N10" s="29">
        <x:v>98919928.719999999</x:v>
      </x:c>
      <x:c r="O10" s="29">
        <x:v>15246268</x:v>
      </x:c>
      <x:c r="P10" s="29">
        <x:f t="shared" si="2"/>
        <x:v>-83673660.719999999</x:v>
      </x:c>
      <x:c r="Q10" s="30">
        <x:f t="shared" si="1"/>
        <x:v>-0.84587263459160322</x:v>
      </x:c>
    </x:row>
    <x:row r="11">
      <x:c r="A11" s="33" t="s">
        <x:v>168</x:v>
      </x:c>
      <x:c r="B11" s="28" t="s">
        <x:v>182</x:v>
      </x:c>
      <x:c r="C11" s="28" t="s">
        <x:v>183</x:v>
      </x:c>
      <x:c r="D11" s="28" t="s">
        <x:v>171</x:v>
      </x:c>
      <x:c r="E11" s="29">
        <x:v>82670424</x:v>
      </x:c>
      <x:c r="F11" s="29">
        <x:v>217107305.53</x:v>
      </x:c>
      <x:c r="G11" s="29">
        <x:v>105337936</x:v>
      </x:c>
      <x:c r="H11" s="29">
        <x:v>872908028</x:v>
      </x:c>
      <x:c r="I11" s="29">
        <x:v>12941945.07</x:v>
      </x:c>
      <x:c r="J11" s="29">
        <x:v>0</x:v>
      </x:c>
      <x:c r="K11" s="29">
        <x:v>158339217</x:v>
      </x:c>
      <x:c r="L11" s="29">
        <x:v>1449304855.5999999</x:v>
      </x:c>
      <x:c r="M11" s="29">
        <x:v>212991370.21000001</x:v>
      </x:c>
      <x:c r="N11" s="29">
        <x:v>1908717995.4299998</x:v>
      </x:c>
      <x:c r="O11" s="29">
        <x:v>1621832454</x:v>
      </x:c>
      <x:c r="P11" s="29">
        <x:f t="shared" si="2"/>
        <x:v>-286885541.42999983</x:v>
      </x:c>
      <x:c r="Q11" s="30">
        <x:f t="shared" si="1"/>
        <x:v>-0.15030273833897065</x:v>
      </x:c>
    </x:row>
    <x:row r="12">
      <x:c r="A12" s="33" t="s">
        <x:v>168</x:v>
      </x:c>
      <x:c r="B12" s="28" t="s">
        <x:v>184</x:v>
      </x:c>
      <x:c r="C12" s="28" t="s">
        <x:v>185</x:v>
      </x:c>
      <x:c r="D12" s="28" t="s">
        <x:v>171</x:v>
      </x:c>
      <x:c r="E12" s="29">
        <x:v>9597</x:v>
      </x:c>
      <x:c r="F12" s="29">
        <x:v>2188005.85</x:v>
      </x:c>
      <x:c r="G12" s="29">
        <x:v>0</x:v>
      </x:c>
      <x:c r="H12" s="29">
        <x:v>4451270</x:v>
      </x:c>
      <x:c r="I12" s="29">
        <x:v>0</x:v>
      </x:c>
      <x:c r="J12" s="29">
        <x:v>0</x:v>
      </x:c>
      <x:c r="K12" s="29">
        <x:v>0</x:v>
      </x:c>
      <x:c r="L12" s="29">
        <x:v>6648872.8499999996</x:v>
      </x:c>
      <x:c r="M12" s="29">
        <x:v>53120.62</x:v>
      </x:c>
      <x:c r="N12" s="29">
        <x:v>6701993.4699999997</x:v>
      </x:c>
      <x:c r="O12" s="29">
        <x:v>0</x:v>
      </x:c>
      <x:c r="P12" s="29">
        <x:f t="shared" si="2"/>
        <x:v>-6701993.4699999997</x:v>
      </x:c>
      <x:c r="Q12" s="30">
        <x:f t="shared" si="1"/>
        <x:v>-1</x:v>
      </x:c>
    </x:row>
    <x:row r="13">
      <x:c r="A13" s="33" t="s">
        <x:v>168</x:v>
      </x:c>
      <x:c r="B13" s="28" t="s">
        <x:v>186</x:v>
      </x:c>
      <x:c r="C13" s="28" t="s">
        <x:v>187</x:v>
      </x:c>
      <x:c r="D13" s="28" t="s">
        <x:v>171</x:v>
      </x:c>
      <x:c r="E13" s="29">
        <x:v>38685</x:v>
      </x:c>
      <x:c r="F13" s="29">
        <x:v>3682309.89</x:v>
      </x:c>
      <x:c r="G13" s="29">
        <x:v>0</x:v>
      </x:c>
      <x:c r="H13" s="29">
        <x:v>8101193</x:v>
      </x:c>
      <x:c r="I13" s="29">
        <x:v>0</x:v>
      </x:c>
      <x:c r="J13" s="29">
        <x:v>0</x:v>
      </x:c>
      <x:c r="K13" s="29">
        <x:v>0</x:v>
      </x:c>
      <x:c r="L13" s="29">
        <x:v>11822187.890000001</x:v>
      </x:c>
      <x:c r="M13" s="28">
        <x:v>0</x:v>
      </x:c>
      <x:c r="N13" s="29">
        <x:v>11822187.890000001</x:v>
      </x:c>
      <x:c r="O13" s="28">
        <x:v>0</x:v>
      </x:c>
      <x:c r="P13" s="28">
        <x:v>-11822187.890000001</x:v>
      </x:c>
      <x:c r="Q13" s="28">
        <x:v>-1</x:v>
      </x:c>
    </x:row>
    <x:row r="14">
      <x:c r="A14" s="38">
        <x:v>2025</x:v>
      </x:c>
      <x:c r="B14" s="28" t="s">
        <x:v>169</x:v>
      </x:c>
      <x:c r="C14" s="28" t="s">
        <x:v>170</x:v>
      </x:c>
      <x:c r="D14" s="28" t="s">
        <x:v>171</x:v>
      </x:c>
      <x:c r="E14" s="29">
        <x:v>102640515.56</x:v>
      </x:c>
      <x:c r="F14" s="29">
        <x:v>111596302.94</x:v>
      </x:c>
      <x:c r="G14" s="29">
        <x:v>14182642</x:v>
      </x:c>
      <x:c r="H14" s="29">
        <x:v>87441302</x:v>
      </x:c>
      <x:c r="I14" s="29">
        <x:v>2669887.2999999998</x:v>
      </x:c>
      <x:c r="J14" s="29">
        <x:v>0</x:v>
      </x:c>
      <x:c r="K14" s="29">
        <x:v>9560000</x:v>
      </x:c>
      <x:c r="L14" s="29">
        <x:v>328090649.80000001</x:v>
      </x:c>
      <x:c r="M14" s="29">
        <x:v>39312497.109999999</x:v>
      </x:c>
      <x:c r="N14" s="29">
        <x:v>367403146.93000001</x:v>
      </x:c>
      <x:c r="O14" s="29" t="n">
        <x:f>1269918579+32859810</x:f>
        <x:v>1302778389</x:v>
      </x:c>
      <x:c r="P14" s="29" t="n">
        <x:f>O14-N14</x:f>
        <x:v>935375242.0699999</x:v>
      </x:c>
      <x:c r="Q14" s="30" t="n">
        <x:f>P14/N14</x:f>
        <x:v>2.5459097176655745</x:v>
      </x:c>
    </x:row>
    <x:row r="15">
      <x:c r="A15" s="38">
        <x:v>2025</x:v>
      </x:c>
      <x:c r="B15" s="28" t="s">
        <x:v>172</x:v>
      </x:c>
      <x:c r="C15" s="28" t="s">
        <x:v>173</x:v>
      </x:c>
      <x:c r="D15" s="28" t="s">
        <x:v>171</x:v>
      </x:c>
      <x:c r="E15" s="29">
        <x:v>107097086.45999999</x:v>
      </x:c>
      <x:c r="F15" s="29">
        <x:v>199936669.96000001</x:v>
      </x:c>
      <x:c r="G15" s="29">
        <x:v>98259849</x:v>
      </x:c>
      <x:c r="H15" s="29">
        <x:v>386983662</x:v>
      </x:c>
      <x:c r="I15" s="29">
        <x:v>247138.77</x:v>
      </x:c>
      <x:c r="J15" s="29">
        <x:v>0</x:v>
      </x:c>
      <x:c r="K15" s="29">
        <x:v>4591326991</x:v>
      </x:c>
      <x:c r="L15" s="29">
        <x:v>5383851397.1899996</x:v>
      </x:c>
      <x:c r="M15" s="29">
        <x:v>31691220.48</x:v>
      </x:c>
      <x:c r="N15" s="29">
        <x:v>5415542617.6599998</x:v>
      </x:c>
      <x:c r="O15" s="34" t="n">
        <x:f>2019115486+2009315702</x:f>
        <x:v>4028431188</x:v>
      </x:c>
      <x:c r="P15" s="29" t="n">
        <x:f t="shared" ref="P15:P21" si="3">O15-N15</x:f>
        <x:v>-1387111429.6599998</x:v>
      </x:c>
      <x:c r="Q15" s="30" t="n">
        <x:f t="shared" ref="Q15:Q21" si="4">P15/N15</x:f>
        <x:v>-0.2561352624456599</x:v>
      </x:c>
    </x:row>
    <x:row r="16">
      <x:c r="A16" s="38">
        <x:v>2025</x:v>
      </x:c>
      <x:c r="B16" s="28" t="s">
        <x:v>174</x:v>
      </x:c>
      <x:c r="C16" s="28" t="s">
        <x:v>175</x:v>
      </x:c>
      <x:c r="D16" s="28" t="s">
        <x:v>171</x:v>
      </x:c>
      <x:c r="E16" s="29">
        <x:v>0</x:v>
      </x:c>
      <x:c r="F16" s="29">
        <x:v>0</x:v>
      </x:c>
      <x:c r="G16" s="29">
        <x:v>0</x:v>
      </x:c>
      <x:c r="H16" s="29">
        <x:v>6123360</x:v>
      </x:c>
      <x:c r="I16" s="29">
        <x:v>0</x:v>
      </x:c>
      <x:c r="J16" s="29">
        <x:v>0</x:v>
      </x:c>
      <x:c r="K16" s="29">
        <x:v>0</x:v>
      </x:c>
      <x:c r="L16" s="29">
        <x:v>6123360</x:v>
      </x:c>
      <x:c r="M16" s="29">
        <x:v>676535.65</x:v>
      </x:c>
      <x:c r="N16" s="29">
        <x:v>6799895.6399999997</x:v>
      </x:c>
      <x:c r="O16" s="29">
        <x:v>29301040</x:v>
      </x:c>
      <x:c r="P16" s="29">
        <x:f t="shared" si="3"/>
        <x:v>22501144.359999999</x:v>
      </x:c>
      <x:c r="Q16" s="30">
        <x:f t="shared" si="4"/>
        <x:v>3.3090426017185171</x:v>
      </x:c>
    </x:row>
    <x:row r="17">
      <x:c r="A17" s="38">
        <x:v>2025</x:v>
      </x:c>
      <x:c r="B17" s="28" t="s">
        <x:v>176</x:v>
      </x:c>
      <x:c r="C17" s="28" t="s">
        <x:v>177</x:v>
      </x:c>
      <x:c r="D17" s="28" t="s">
        <x:v>171</x:v>
      </x:c>
      <x:c r="E17" s="29">
        <x:v>90626228.620000005</x:v>
      </x:c>
      <x:c r="F17" s="29">
        <x:v>178906661.97</x:v>
      </x:c>
      <x:c r="G17" s="29">
        <x:v>0</x:v>
      </x:c>
      <x:c r="H17" s="29">
        <x:v>233002340</x:v>
      </x:c>
      <x:c r="I17" s="29">
        <x:v>0</x:v>
      </x:c>
      <x:c r="J17" s="29">
        <x:v>0</x:v>
      </x:c>
      <x:c r="K17" s="29">
        <x:v>0</x:v>
      </x:c>
      <x:c r="L17" s="29">
        <x:v>502535230.58999997</x:v>
      </x:c>
      <x:c r="M17" s="29">
        <x:v>6808678.6100000003</x:v>
      </x:c>
      <x:c r="N17" s="29">
        <x:v>509343909.20999998</x:v>
      </x:c>
      <x:c r="O17" s="29">
        <x:v>507228178</x:v>
      </x:c>
      <x:c r="P17" s="29">
        <x:f t="shared" si="3"/>
        <x:v>-2115731.2099999785</x:v>
      </x:c>
      <x:c r="Q17" s="30">
        <x:f t="shared" si="4"/>
        <x:v>-4.1538362818189173E-3</x:v>
      </x:c>
    </x:row>
    <x:row r="18">
      <x:c r="A18" s="38">
        <x:v>2025</x:v>
      </x:c>
      <x:c r="B18" s="28" t="s">
        <x:v>178</x:v>
      </x:c>
      <x:c r="C18" s="28" t="s">
        <x:v>179</x:v>
      </x:c>
      <x:c r="D18" s="28" t="s">
        <x:v>171</x:v>
      </x:c>
      <x:c r="E18" s="29">
        <x:v>13126986</x:v>
      </x:c>
      <x:c r="F18" s="29">
        <x:v>17471479.550000001</x:v>
      </x:c>
      <x:c r="G18" s="29">
        <x:v>0</x:v>
      </x:c>
      <x:c r="H18" s="29">
        <x:v>18197626</x:v>
      </x:c>
      <x:c r="I18" s="29">
        <x:v>953694.59</x:v>
      </x:c>
      <x:c r="J18" s="29">
        <x:v>0</x:v>
      </x:c>
      <x:c r="K18" s="29">
        <x:v>0</x:v>
      </x:c>
      <x:c r="L18" s="29">
        <x:v>49749786.140000001</x:v>
      </x:c>
      <x:c r="M18" s="29">
        <x:v>5039542.5999999996</x:v>
      </x:c>
      <x:c r="N18" s="29">
        <x:v>54789328.710000001</x:v>
      </x:c>
      <x:c r="O18" s="29">
        <x:v>374146140</x:v>
      </x:c>
      <x:c r="P18" s="29">
        <x:f t="shared" si="3"/>
        <x:v>319356811.29000002</x:v>
      </x:c>
      <x:c r="Q18" s="30">
        <x:f t="shared" si="4"/>
        <x:v>5.8288140922542802</x:v>
      </x:c>
    </x:row>
    <x:row r="19">
      <x:c r="A19" s="38">
        <x:v>2025</x:v>
      </x:c>
      <x:c r="B19" s="28" t="s">
        <x:v>180</x:v>
      </x:c>
      <x:c r="C19" s="28" t="s">
        <x:v>181</x:v>
      </x:c>
      <x:c r="D19" s="28" t="s">
        <x:v>171</x:v>
      </x:c>
      <x:c r="E19" s="29">
        <x:v>9053268</x:v>
      </x:c>
      <x:c r="F19" s="29">
        <x:v>14754864.1</x:v>
      </x:c>
      <x:c r="G19" s="29">
        <x:v>0</x:v>
      </x:c>
      <x:c r="H19" s="29">
        <x:v>0</x:v>
      </x:c>
      <x:c r="I19" s="29">
        <x:v>7445380.8600000003</x:v>
      </x:c>
      <x:c r="J19" s="29">
        <x:v>0</x:v>
      </x:c>
      <x:c r="K19" s="29">
        <x:v>15397061</x:v>
      </x:c>
      <x:c r="L19" s="29">
        <x:v>46650573.960000001</x:v>
      </x:c>
      <x:c r="M19" s="29">
        <x:v>19755.25</x:v>
      </x:c>
      <x:c r="N19" s="29">
        <x:v>46670329.210000001</x:v>
      </x:c>
      <x:c r="O19" s="29">
        <x:v>1476600</x:v>
      </x:c>
      <x:c r="P19" s="29">
        <x:f t="shared" si="3"/>
        <x:v>-45193729.210000001</x:v>
      </x:c>
      <x:c r="Q19" s="30">
        <x:f t="shared" si="4"/>
        <x:v>-0.96836105455018706</x:v>
      </x:c>
    </x:row>
    <x:row r="20">
      <x:c r="A20" s="38">
        <x:v>2025</x:v>
      </x:c>
      <x:c r="B20" s="28" t="s">
        <x:v>188</x:v>
      </x:c>
      <x:c r="C20" s="28" t="s">
        <x:v>189</x:v>
      </x:c>
      <x:c r="D20" s="28" t="s">
        <x:v>171</x:v>
      </x:c>
      <x:c r="E20" s="29">
        <x:v>4779800</x:v>
      </x:c>
      <x:c r="F20" s="29">
        <x:v>-2376000</x:v>
      </x:c>
      <x:c r="G20" s="29">
        <x:v>0</x:v>
      </x:c>
      <x:c r="H20" s="29">
        <x:v>0</x:v>
      </x:c>
      <x:c r="I20" s="29">
        <x:v>0</x:v>
      </x:c>
      <x:c r="J20" s="29">
        <x:v>0</x:v>
      </x:c>
      <x:c r="K20" s="29">
        <x:v>0</x:v>
      </x:c>
      <x:c r="L20" s="29">
        <x:v>2403800</x:v>
      </x:c>
      <x:c r="M20" s="29">
        <x:v>0</x:v>
      </x:c>
      <x:c r="N20" s="29">
        <x:v>2403800</x:v>
      </x:c>
      <x:c r="O20" s="29"/>
      <x:c r="P20" s="29">
        <x:f t="shared" si="3"/>
        <x:v>-2403800</x:v>
      </x:c>
      <x:c r="Q20" s="30">
        <x:f t="shared" si="4"/>
        <x:v>-1</x:v>
      </x:c>
    </x:row>
    <x:row r="21">
      <x:c r="A21" s="38">
        <x:v>2025</x:v>
      </x:c>
      <x:c r="B21" s="28" t="s">
        <x:v>182</x:v>
      </x:c>
      <x:c r="C21" s="28" t="s">
        <x:v>190</x:v>
      </x:c>
      <x:c r="D21" s="28" t="s">
        <x:v>171</x:v>
      </x:c>
      <x:c r="E21" s="29">
        <x:v>354528464.75999999</x:v>
      </x:c>
      <x:c r="F21" s="29">
        <x:v>443259830.96000004</x:v>
      </x:c>
      <x:c r="G21" s="29">
        <x:v>317827069</x:v>
      </x:c>
      <x:c r="H21" s="29">
        <x:v>1547713800</x:v>
      </x:c>
      <x:c r="I21" s="29">
        <x:v>35485110.82</x:v>
      </x:c>
      <x:c r="J21" s="29">
        <x:v>0</x:v>
      </x:c>
      <x:c r="K21" s="29">
        <x:v>386042382.55000001</x:v>
      </x:c>
      <x:c r="L21" s="29">
        <x:v>3084856658.0900002</x:v>
      </x:c>
      <x:c r="M21" s="29">
        <x:v>340306247.03000003</x:v>
      </x:c>
      <x:c r="N21" s="29">
        <x:v>3425162905.1100001</x:v>
      </x:c>
      <x:c r="O21" s="29">
        <x:v>3292104349</x:v>
      </x:c>
      <x:c r="P21" s="29">
        <x:f t="shared" si="3"/>
        <x:v>-133058556.11000013</x:v>
      </x:c>
      <x:c r="Q21" s="30">
        <x:f t="shared" si="4"/>
        <x:v>-3.8847365744703731E-2</x:v>
      </x:c>
    </x:row>
    <x:row r="22">
      <x:c r="A22" s="37">
        <x:v>2024</x:v>
      </x:c>
      <x:c r="B22" s="28" t="s">
        <x:v>169</x:v>
      </x:c>
      <x:c r="C22" s="28" t="s">
        <x:v>170</x:v>
      </x:c>
      <x:c r="D22" s="28" t="s">
        <x:v>171</x:v>
      </x:c>
      <x:c r="E22" s="29">
        <x:v>148501583.59</x:v>
      </x:c>
      <x:c r="F22" s="29">
        <x:v>99796400.859999999</x:v>
      </x:c>
      <x:c r="G22" s="29">
        <x:v>27529506</x:v>
      </x:c>
      <x:c r="H22" s="29">
        <x:v>83783480</x:v>
      </x:c>
      <x:c r="I22" s="29">
        <x:v>2323811</x:v>
      </x:c>
      <x:c r="J22" s="29">
        <x:v>0</x:v>
      </x:c>
      <x:c r="K22" s="29">
        <x:v>8915545</x:v>
      </x:c>
      <x:c r="L22" s="29">
        <x:v>370850326.44999999</x:v>
      </x:c>
      <x:c r="M22" s="29">
        <x:v>20496641.579999998</x:v>
      </x:c>
      <x:c r="N22" s="29">
        <x:v>391346968.02999997</x:v>
      </x:c>
      <x:c r="O22" s="29" t="n">
        <x:f>1765224007+146280164</x:f>
        <x:v>1911504171</x:v>
      </x:c>
      <x:c r="P22" s="29" t="n">
        <x:f>O22-N22</x:f>
        <x:v>1520157202.97</x:v>
      </x:c>
      <x:c r="Q22" s="30" t="n">
        <x:f>P22/N22</x:f>
        <x:v>3.8844231006114947</x:v>
      </x:c>
    </x:row>
    <x:row r="23">
      <x:c r="A23" s="37">
        <x:v>2024</x:v>
      </x:c>
      <x:c r="B23" s="28" t="s">
        <x:v>172</x:v>
      </x:c>
      <x:c r="C23" s="28" t="s">
        <x:v>173</x:v>
      </x:c>
      <x:c r="D23" s="28" t="s">
        <x:v>171</x:v>
      </x:c>
      <x:c r="E23" s="29">
        <x:v>96349097.409999996</x:v>
      </x:c>
      <x:c r="F23" s="29">
        <x:v>376608169.16000003</x:v>
      </x:c>
      <x:c r="G23" s="29">
        <x:v>38928384</x:v>
      </x:c>
      <x:c r="H23" s="29">
        <x:v>511441635</x:v>
      </x:c>
      <x:c r="I23" s="29">
        <x:v>894128.14</x:v>
      </x:c>
      <x:c r="J23" s="29">
        <x:v>0</x:v>
      </x:c>
      <x:c r="K23" s="29">
        <x:v>4639372850</x:v>
      </x:c>
      <x:c r="L23" s="29">
        <x:v>5663594263.71</x:v>
      </x:c>
      <x:c r="M23" s="29">
        <x:v>0</x:v>
      </x:c>
      <x:c r="N23" s="29">
        <x:v>5663594263.71</x:v>
      </x:c>
      <x:c r="O23" s="29" t="n">
        <x:f>1776416040+2834511840</x:f>
        <x:v>4610927880</x:v>
      </x:c>
      <x:c r="P23" s="29" t="n">
        <x:f t="shared" ref="P23:P27" si="5">O23-N23</x:f>
        <x:v>-1052666383.71</x:v>
      </x:c>
      <x:c r="Q23" s="30" t="n">
        <x:f t="shared" ref="Q23:Q27" si="6">P23/N23</x:f>
        <x:v>-0.18586543009534714</x:v>
      </x:c>
    </x:row>
    <x:row r="24">
      <x:c r="A24" s="37">
        <x:v>2024</x:v>
      </x:c>
      <x:c r="B24" s="28" t="s">
        <x:v>176</x:v>
      </x:c>
      <x:c r="C24" s="28" t="s">
        <x:v>177</x:v>
      </x:c>
      <x:c r="D24" s="28" t="s">
        <x:v>171</x:v>
      </x:c>
      <x:c r="E24" s="29">
        <x:v>70264483.269999996</x:v>
      </x:c>
      <x:c r="F24" s="29">
        <x:v>105888454.45</x:v>
      </x:c>
      <x:c r="G24" s="29">
        <x:v>3477418</x:v>
      </x:c>
      <x:c r="H24" s="29">
        <x:v>325285686</x:v>
      </x:c>
      <x:c r="I24" s="29">
        <x:v>0</x:v>
      </x:c>
      <x:c r="J24" s="29">
        <x:v>0</x:v>
      </x:c>
      <x:c r="K24" s="29">
        <x:v>0</x:v>
      </x:c>
      <x:c r="L24" s="29">
        <x:v>504916041.72000003</x:v>
      </x:c>
      <x:c r="M24" s="29">
        <x:v>590570.01</x:v>
      </x:c>
      <x:c r="N24" s="29">
        <x:v>505506611.72000003</x:v>
      </x:c>
      <x:c r="O24" s="29">
        <x:v>866929597</x:v>
      </x:c>
      <x:c r="P24" s="29">
        <x:f t="shared" si="5"/>
        <x:v>361422985.27999997</x:v>
      </x:c>
      <x:c r="Q24" s="30">
        <x:f t="shared" si="6"/>
        <x:v>0.71497182608600984</x:v>
      </x:c>
    </x:row>
    <x:row r="25">
      <x:c r="A25" s="37">
        <x:v>2024</x:v>
      </x:c>
      <x:c r="B25" s="28" t="s">
        <x:v>178</x:v>
      </x:c>
      <x:c r="C25" s="28" t="s">
        <x:v>179</x:v>
      </x:c>
      <x:c r="D25" s="28" t="s">
        <x:v>171</x:v>
      </x:c>
      <x:c r="E25" s="29">
        <x:v>36217088.689999998</x:v>
      </x:c>
      <x:c r="F25" s="29">
        <x:v>36950395.399999999</x:v>
      </x:c>
      <x:c r="G25" s="29">
        <x:v>0</x:v>
      </x:c>
      <x:c r="H25" s="29">
        <x:v>41095469</x:v>
      </x:c>
      <x:c r="I25" s="29">
        <x:v>133813141.76000001</x:v>
      </x:c>
      <x:c r="J25" s="29">
        <x:v>0</x:v>
      </x:c>
      <x:c r="K25" s="29">
        <x:v>3380519</x:v>
      </x:c>
      <x:c r="L25" s="29">
        <x:v>251456613.84999999</x:v>
      </x:c>
      <x:c r="M25" s="29">
        <x:v>5801510.9500000002</x:v>
      </x:c>
      <x:c r="N25" s="29">
        <x:v>257258124.78</x:v>
      </x:c>
      <x:c r="O25" s="29">
        <x:v>419753105</x:v>
      </x:c>
      <x:c r="P25" s="29">
        <x:f t="shared" si="5"/>
        <x:v>162494980.22</x:v>
      </x:c>
      <x:c r="Q25" s="30">
        <x:f t="shared" si="6"/>
        <x:v>0.63164178141685978</x:v>
      </x:c>
    </x:row>
    <x:row r="26">
      <x:c r="A26" s="37">
        <x:v>2024</x:v>
      </x:c>
      <x:c r="B26" s="28" t="s">
        <x:v>180</x:v>
      </x:c>
      <x:c r="C26" s="28" t="s">
        <x:v>181</x:v>
      </x:c>
      <x:c r="D26" s="28" t="s">
        <x:v>171</x:v>
      </x:c>
      <x:c r="E26" s="29">
        <x:v>8817543</x:v>
      </x:c>
      <x:c r="F26" s="29">
        <x:v>84701.55</x:v>
      </x:c>
      <x:c r="G26" s="29">
        <x:v>0</x:v>
      </x:c>
      <x:c r="H26" s="29">
        <x:v>0</x:v>
      </x:c>
      <x:c r="I26" s="29">
        <x:v>82648766.730000004</x:v>
      </x:c>
      <x:c r="J26" s="29">
        <x:v>0</x:v>
      </x:c>
      <x:c r="K26" s="29">
        <x:v>586</x:v>
      </x:c>
      <x:c r="L26" s="29">
        <x:v>91551597.280000001</x:v>
      </x:c>
      <x:c r="M26" s="29">
        <x:v>0</x:v>
      </x:c>
      <x:c r="N26" s="29">
        <x:v>91551597.280000001</x:v>
      </x:c>
      <x:c r="O26" s="29">
        <x:v>1789930</x:v>
      </x:c>
      <x:c r="P26" s="29">
        <x:f t="shared" si="5"/>
        <x:v>-89761667.280000001</x:v>
      </x:c>
      <x:c r="Q26" s="30">
        <x:f t="shared" si="6"/>
        <x:v>-0.98044894842712893</x:v>
      </x:c>
    </x:row>
    <x:row r="27">
      <x:c r="A27" s="37">
        <x:v>2024</x:v>
      </x:c>
      <x:c r="B27" s="35" t="s">
        <x:v>182</x:v>
      </x:c>
      <x:c r="C27" s="35" t="s">
        <x:v>190</x:v>
      </x:c>
      <x:c r="D27" s="35" t="s">
        <x:v>171</x:v>
      </x:c>
      <x:c r="E27" s="32">
        <x:v>460040098.61000001</x:v>
      </x:c>
      <x:c r="F27" s="32">
        <x:v>386909999.37</x:v>
      </x:c>
      <x:c r="G27" s="32">
        <x:v>343142138</x:v>
      </x:c>
      <x:c r="H27" s="32">
        <x:v>1708142931</x:v>
      </x:c>
      <x:c r="I27" s="32">
        <x:v>178590123.22</x:v>
      </x:c>
      <x:c r="J27" s="32">
        <x:v>0</x:v>
      </x:c>
      <x:c r="K27" s="32">
        <x:v>559814645.44000006</x:v>
      </x:c>
      <x:c r="L27" s="32">
        <x:v>3636639935.6400003</x:v>
      </x:c>
      <x:c r="M27" s="32">
        <x:v>110320165.56999999</x:v>
      </x:c>
      <x:c r="N27" s="32">
        <x:v>3746960101.21</x:v>
      </x:c>
      <x:c r="O27" s="32">
        <x:v>3156108789</x:v>
      </x:c>
      <x:c r="P27" s="32">
        <x:f t="shared" si="5"/>
        <x:v>-590851312.21000004</x:v>
      </x:c>
      <x:c r="Q27" s="36">
        <x:f t="shared" si="6"/>
        <x:v>-0.15768817821657544</x:v>
      </x:c>
    </x:row>
    <x:row r="28">
      <x:c r="A28" s="37">
        <x:v>2023</x:v>
      </x:c>
      <x:c r="B28" s="28" t="s">
        <x:v>169</x:v>
      </x:c>
      <x:c r="C28" s="28" t="s">
        <x:v>170</x:v>
      </x:c>
      <x:c r="D28" s="28" t="s">
        <x:v>171</x:v>
      </x:c>
      <x:c r="E28" s="29">
        <x:v>4781452</x:v>
      </x:c>
      <x:c r="F28" s="29">
        <x:v>1285552.03</x:v>
      </x:c>
      <x:c r="G28" s="29">
        <x:v>0</x:v>
      </x:c>
      <x:c r="H28" s="29">
        <x:v>1024211</x:v>
      </x:c>
      <x:c r="I28" s="29">
        <x:v>193584.4</x:v>
      </x:c>
      <x:c r="J28" s="29">
        <x:v>0</x:v>
      </x:c>
      <x:c r="K28" s="29">
        <x:v>323434</x:v>
      </x:c>
      <x:c r="L28" s="29">
        <x:v>7608233.4299999997</x:v>
      </x:c>
      <x:c r="M28" s="29">
        <x:v>412485.76</x:v>
      </x:c>
      <x:c r="N28" s="29">
        <x:v>8020719.2000000002</x:v>
      </x:c>
      <x:c r="O28" s="29" t="n">
        <x:f>83281097+803719482</x:f>
        <x:v>887000579</x:v>
      </x:c>
      <x:c r="P28" s="29" t="n">
        <x:f>O28-N28</x:f>
        <x:v>878979859.8</x:v>
      </x:c>
      <x:c r="Q28" s="30" t="n">
        <x:f>P28/N28</x:f>
        <x:v>109.58865880755431</x:v>
      </x:c>
    </x:row>
    <x:row r="29">
      <x:c r="A29" s="37">
        <x:v>2023</x:v>
      </x:c>
      <x:c r="B29" s="28" t="s">
        <x:v>172</x:v>
      </x:c>
      <x:c r="C29" s="28" t="s">
        <x:v>173</x:v>
      </x:c>
      <x:c r="D29" s="28" t="s">
        <x:v>171</x:v>
      </x:c>
      <x:c r="E29" s="29">
        <x:v>55661977.890000001</x:v>
      </x:c>
      <x:c r="F29" s="29">
        <x:v>50267567.390000001</x:v>
      </x:c>
      <x:c r="G29" s="29">
        <x:v>0</x:v>
      </x:c>
      <x:c r="H29" s="29">
        <x:v>91755833</x:v>
      </x:c>
      <x:c r="I29" s="29">
        <x:v>0</x:v>
      </x:c>
      <x:c r="J29" s="29">
        <x:v>0</x:v>
      </x:c>
      <x:c r="K29" s="29">
        <x:v>0</x:v>
      </x:c>
      <x:c r="L29" s="29">
        <x:v>197685378.28</x:v>
      </x:c>
      <x:c r="M29" s="29">
        <x:v>0</x:v>
      </x:c>
      <x:c r="N29" s="29">
        <x:v>197685378.28</x:v>
      </x:c>
      <x:c r="O29" s="29" t="n">
        <x:f>102310609+4200331798</x:f>
        <x:v>4302642407</x:v>
      </x:c>
      <x:c r="P29" s="29" t="n">
        <x:f t="shared" ref="P29:P32" si="7">O29-N29</x:f>
        <x:v>4104957028.72</x:v>
      </x:c>
      <x:c r="Q29" s="30" t="n">
        <x:f t="shared" ref="Q29:Q32" si="8">P29/N29</x:f>
        <x:v>20.765101923247816</x:v>
      </x:c>
    </x:row>
    <x:row r="30">
      <x:c r="A30" s="37">
        <x:v>2023</x:v>
      </x:c>
      <x:c r="B30" s="28" t="s">
        <x:v>176</x:v>
      </x:c>
      <x:c r="C30" s="28" t="s">
        <x:v>177</x:v>
      </x:c>
      <x:c r="D30" s="28" t="s">
        <x:v>171</x:v>
      </x:c>
      <x:c r="E30" s="29">
        <x:v>5522413</x:v>
      </x:c>
      <x:c r="F30" s="29">
        <x:v>1000760</x:v>
      </x:c>
      <x:c r="G30" s="29">
        <x:v>0</x:v>
      </x:c>
      <x:c r="H30" s="29">
        <x:v>29896099</x:v>
      </x:c>
      <x:c r="I30" s="29">
        <x:v>0</x:v>
      </x:c>
      <x:c r="J30" s="29">
        <x:v>0</x:v>
      </x:c>
      <x:c r="K30" s="29">
        <x:v>0</x:v>
      </x:c>
      <x:c r="L30" s="29">
        <x:v>36419272</x:v>
      </x:c>
      <x:c r="M30" s="29">
        <x:v>0</x:v>
      </x:c>
      <x:c r="N30" s="29">
        <x:v>36419272</x:v>
      </x:c>
      <x:c r="O30" s="29">
        <x:v>74852600</x:v>
      </x:c>
      <x:c r="P30" s="29">
        <x:f t="shared" si="7"/>
        <x:v>38433328</x:v>
      </x:c>
      <x:c r="Q30" s="30">
        <x:f t="shared" si="8"/>
        <x:v>1.0553019291544323</x:v>
      </x:c>
    </x:row>
    <x:row r="31">
      <x:c r="A31" s="37">
        <x:v>2023</x:v>
      </x:c>
      <x:c r="B31" s="28" t="s">
        <x:v>178</x:v>
      </x:c>
      <x:c r="C31" s="28" t="s">
        <x:v>179</x:v>
      </x:c>
      <x:c r="D31" s="28" t="s">
        <x:v>171</x:v>
      </x:c>
      <x:c r="E31" s="29">
        <x:v>13050</x:v>
      </x:c>
      <x:c r="F31" s="29">
        <x:v>7879739.8600000003</x:v>
      </x:c>
      <x:c r="G31" s="29">
        <x:v>0</x:v>
      </x:c>
      <x:c r="H31" s="29">
        <x:v>0</x:v>
      </x:c>
      <x:c r="I31" s="29">
        <x:v>2731888.35</x:v>
      </x:c>
      <x:c r="J31" s="29">
        <x:v>0</x:v>
      </x:c>
      <x:c r="K31" s="29">
        <x:v>27846000</x:v>
      </x:c>
      <x:c r="L31" s="29">
        <x:v>38470678.210000001</x:v>
      </x:c>
      <x:c r="M31" s="29">
        <x:v>220056.14</x:v>
      </x:c>
      <x:c r="N31" s="29">
        <x:v>38690734.340000004</x:v>
      </x:c>
      <x:c r="O31" s="29">
        <x:v>10133640</x:v>
      </x:c>
      <x:c r="P31" s="29">
        <x:f t="shared" si="7"/>
        <x:v>-28557094.340000004</x:v>
      </x:c>
      <x:c r="Q31" s="30">
        <x:f t="shared" si="8"/>
        <x:v>-0.73808612907293814</x:v>
      </x:c>
    </x:row>
    <x:row r="32">
      <x:c r="A32" s="37">
        <x:v>2023</x:v>
      </x:c>
      <x:c r="B32" s="35" t="s">
        <x:v>180</x:v>
      </x:c>
      <x:c r="C32" s="35" t="s">
        <x:v>181</x:v>
      </x:c>
      <x:c r="D32" s="35" t="s">
        <x:v>171</x:v>
      </x:c>
      <x:c r="E32" s="32">
        <x:v>0</x:v>
      </x:c>
      <x:c r="F32" s="32">
        <x:v>0</x:v>
      </x:c>
      <x:c r="G32" s="32">
        <x:v>0</x:v>
      </x:c>
      <x:c r="H32" s="32">
        <x:v>0</x:v>
      </x:c>
      <x:c r="I32" s="32">
        <x:v>0</x:v>
      </x:c>
      <x:c r="J32" s="32">
        <x:v>0</x:v>
      </x:c>
      <x:c r="K32" s="32">
        <x:v>0</x:v>
      </x:c>
      <x:c r="L32" s="32">
        <x:v>0</x:v>
      </x:c>
      <x:c r="M32" s="32">
        <x:v>0</x:v>
      </x:c>
      <x:c r="N32" s="32">
        <x:v>0</x:v>
      </x:c>
      <x:c r="O32" s="32"/>
      <x:c r="P32" s="32">
        <x:f t="shared" si="7"/>
        <x:v>0</x:v>
      </x:c>
      <x:c r="Q32" s="36" t="str">
        <x:f t="shared" si="8">IF(N32=0,"No calculable",P32/N32)</x:f>
        <x:v>No calculable</x:v>
      </x:c>
    </x:row>
    <x:row r="35" ht="28" customHeight="1">
      <x:c r="A35" s="64" t="str">
        <x:v>Se conservan los valores de la oficina de costos. Urgencias-observación 2026: costo total $1.908.717.995,43 frente a distribución primaria más secundaria $1.662.296.225,81; diferencia $246.421.769,62 pendiente de aclaración. No se inventa un componente para ajustar el total.</x:v>
      </x:c>
      <x:c r="B35" s="64"/>
      <x:c r="C35" s="64"/>
      <x:c r="D35" s="64"/>
      <x:c r="E35" s="64"/>
      <x:c r="F35" s="64"/>
      <x:c r="G35" s="64"/>
      <x:c r="H35" s="64"/>
      <x:c r="I35" s="64"/>
      <x:c r="J35" s="64"/>
      <x:c r="K35" s="64"/>
      <x:c r="L35" s="64"/>
      <x:c r="M35" s="64"/>
      <x:c r="N35" s="64"/>
      <x:c r="O35" s="64"/>
      <x:c r="P35" s="64"/>
      <x:c r="Q35" s="64"/>
    </x:row>
    <x:row r="36" ht="28" customHeight="1">
      <x:c r="A36" s="64"/>
      <x:c r="B36" s="64"/>
      <x:c r="C36" s="64"/>
      <x:c r="D36" s="64"/>
      <x:c r="E36" s="64"/>
      <x:c r="F36" s="64"/>
      <x:c r="G36" s="64"/>
      <x:c r="H36" s="64"/>
      <x:c r="I36" s="64"/>
      <x:c r="J36" s="64"/>
      <x:c r="K36" s="64"/>
      <x:c r="L36" s="64"/>
      <x:c r="M36" s="64"/>
      <x:c r="N36" s="64"/>
      <x:c r="O36" s="64"/>
      <x:c r="P36" s="64"/>
      <x:c r="Q36" s="64"/>
    </x:row>
    <x:row r="38" ht="26" customHeight="1">
      <x:c r="A38" s="64" t="str">
        <x:v>Las celdas de facturación vacías de sala de cirugía 2025 y sala de partos 2023 se conservan. Los agregados son los informados por la fuente. Resultado/costo es distinto de margen sobre facturación. El costo 2023 corresponde a un corte parcial.</x:v>
      </x:c>
      <x:c r="B38" s="64"/>
      <x:c r="C38" s="64"/>
      <x:c r="D38" s="64"/>
      <x:c r="E38" s="64"/>
      <x:c r="F38" s="64"/>
      <x:c r="G38" s="64"/>
      <x:c r="H38" s="64"/>
      <x:c r="I38" s="64"/>
      <x:c r="J38" s="64"/>
      <x:c r="K38" s="64"/>
      <x:c r="L38" s="64"/>
      <x:c r="M38" s="64"/>
      <x:c r="N38" s="64"/>
      <x:c r="O38" s="64"/>
      <x:c r="P38" s="64"/>
      <x:c r="Q38" s="64"/>
    </x:row>
    <x:row r="39" ht="26" customHeight="1">
      <x:c r="A39" s="64"/>
      <x:c r="B39" s="64"/>
      <x:c r="C39" s="64"/>
      <x:c r="D39" s="64"/>
      <x:c r="E39" s="64"/>
      <x:c r="F39" s="64"/>
      <x:c r="G39" s="64"/>
      <x:c r="H39" s="64"/>
      <x:c r="I39" s="64"/>
      <x:c r="J39" s="64"/>
      <x:c r="K39" s="64"/>
      <x:c r="L39" s="64"/>
      <x:c r="M39" s="64"/>
      <x:c r="N39" s="64"/>
      <x:c r="O39" s="64"/>
      <x:c r="P39" s="64"/>
      <x:c r="Q39" s="64"/>
    </x:row>
  </x:sheetData>
  <x:mergeCells>
    <x:mergeCell ref="A2:H2"/>
    <x:mergeCell ref="A1:H1"/>
    <x:mergeCell ref="A35:Q36"/>
    <x:mergeCell ref="A38:Q39"/>
  </x:mergeCells>
  <x:pageMargins left="0.7" right="0.7" top="0.75" bottom="0.75" header="0.3" footer="0.3"/>
  <x:tableParts count="1">
    <x:tablePart xmlns:r="http://schemas.openxmlformats.org/officeDocument/2006/relationships" r:id="R27aae6551e7c43c7"/>
  </x:tableParts>
</x:worksheet>
</file>

<file path=xl/worksheets/sheet14.xml><?xml version="1.0" encoding="utf-8"?>
<x:worksheet xmlns:x="http://schemas.openxmlformats.org/spreadsheetml/2006/main">
  <x:sheetFormatPr baseColWidth="10" defaultColWidth="9" defaultRowHeight="14"/>
  <x:cols>
    <x:col min="1" max="1" width="16" customWidth="1"/>
    <x:col min="2" max="7" width="18" customWidth="1"/>
    <x:col min="8" max="8" width="20" customWidth="1"/>
    <x:col min="9" max="9" width="18" customWidth="1"/>
    <x:col min="10" max="10" width="16" customWidth="1"/>
    <x:col min="11" max="11" width="25" hidden="0" customWidth="1"/>
    <x:col min="12" max="12" width="25" hidden="0" customWidth="1"/>
    <x:col min="13" max="13" width="25"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42" customHeight="1">
      <x:c r="A4" s="1" t="s">
        <x:v>37</x:v>
      </x:c>
      <x:c r="B4" s="1" t="s">
        <x:v>191</x:v>
      </x:c>
      <x:c r="C4" s="1" t="s">
        <x:v>192</x:v>
      </x:c>
      <x:c r="D4" s="1" t="s">
        <x:v>193</x:v>
      </x:c>
      <x:c r="E4" s="1" t="s">
        <x:v>194</x:v>
      </x:c>
      <x:c r="F4" s="1" t="s">
        <x:v>195</x:v>
      </x:c>
      <x:c r="G4" s="1" t="s">
        <x:v>196</x:v>
      </x:c>
      <x:c r="H4" s="1" t="s">
        <x:v>197</x:v>
      </x:c>
      <x:c r="I4" s="1" t="s">
        <x:v>198</x:v>
      </x:c>
      <x:c r="J4" s="1" t="s">
        <x:v>199</x:v>
      </x:c>
      <x:c r="K4" s="80" t="str">
        <x:v>Activo corriente</x:v>
      </x:c>
      <x:c r="L4" s="80" t="str">
        <x:v>Pasivo corriente</x:v>
      </x:c>
      <x:c r="M4" s="80" t="str">
        <x:v>Capital de trabajo</x:v>
      </x:c>
    </x:row>
    <x:row r="5" ht="30" customHeight="1">
      <x:c r="A5" s="2" t="s">
        <x:v>150</x:v>
      </x:c>
      <x:c r="B5" s="18">
        <x:v>67871032379.879997</x:v>
      </x:c>
      <x:c r="C5" s="18">
        <x:v>10561619679.43</x:v>
      </x:c>
      <x:c r="D5" s="18">
        <x:v>57309412700.449997</x:v>
      </x:c>
      <x:c r="E5" s="18">
        <x:v>64774750198.150002</x:v>
      </x:c>
      <x:c r="F5" s="18">
        <x:v>47381134651.379997</x:v>
      </x:c>
      <x:c r="G5" s="18">
        <x:v>17393615546.77</x:v>
      </x:c>
      <x:c r="H5" s="18">
        <x:v>-1790595673.8099999</x:v>
      </x:c>
      <x:c r="I5" s="18">
        <x:v>-1629872408.75</x:v>
      </x:c>
      <x:c r="J5" s="20">
        <x:v>1.5917721856480738</x:v>
      </x:c>
      <x:c r="K5" s="96" t="n">
        <x:v>16811692441.11</x:v>
      </x:c>
      <x:c r="L5" s="96" t="n">
        <x:v>10561619679.43</x:v>
      </x:c>
      <x:c r="M5" s="96" t="n">
        <x:f>K5-L5</x:f>
        <x:v>6250072761.68</x:v>
      </x:c>
    </x:row>
    <x:row r="6" ht="30" customHeight="1">
      <x:c r="A6" s="2" t="s">
        <x:v>46</x:v>
      </x:c>
      <x:c r="B6" s="18">
        <x:v>66794289253.300003</x:v>
      </x:c>
      <x:c r="C6" s="18">
        <x:v>9703458033.3500004</x:v>
      </x:c>
      <x:c r="D6" s="18">
        <x:v>57090831219.949997</x:v>
      </x:c>
      <x:c r="E6" s="18">
        <x:v>69178633388.5</x:v>
      </x:c>
      <x:c r="F6" s="18">
        <x:v>50451825733.400002</x:v>
      </x:c>
      <x:c r="G6" s="18">
        <x:v>18726807655.099998</x:v>
      </x:c>
      <x:c r="H6" s="18">
        <x:v>-2313147423.5999999</x:v>
      </x:c>
      <x:c r="I6" s="18">
        <x:v>-218581480.5</x:v>
      </x:c>
      <x:c r="J6" s="20">
        <x:v>1.782043923995841</x:v>
      </x:c>
      <x:c r="K6" s="96" t="n">
        <x:v>17291988430.08</x:v>
      </x:c>
      <x:c r="L6" s="96" t="n">
        <x:v>9703458033.35</x:v>
      </x:c>
      <x:c r="M6" s="96" t="n">
        <x:f>K6-L6</x:f>
        <x:v>7588530396.730001</x:v>
      </x:c>
    </x:row>
    <x:row r="7" ht="30" customHeight="1">
      <x:c r="A7" s="2" t="s">
        <x:v>49</x:v>
      </x:c>
      <x:c r="B7" s="18">
        <x:v>78691243676.119995</x:v>
      </x:c>
      <x:c r="C7" s="18">
        <x:v>25288965610.959999</x:v>
      </x:c>
      <x:c r="D7" s="18">
        <x:v>53402278065.160004</x:v>
      </x:c>
      <x:c r="E7" s="18">
        <x:v>66091060647.849998</x:v>
      </x:c>
      <x:c r="F7" s="18">
        <x:v>55570218932.489998</x:v>
      </x:c>
      <x:c r="G7" s="18">
        <x:v>10520841715.360001</x:v>
      </x:c>
      <x:c r="H7" s="18">
        <x:v>-7741133743.04</x:v>
      </x:c>
      <x:c r="I7" s="18">
        <x:v>-3688553154.79</x:v>
      </x:c>
      <x:c r="J7" s="20">
        <x:v>1.13917707494982</x:v>
      </x:c>
      <x:c r="K7" s="96" t="n">
        <x:v>28808609873.2</x:v>
      </x:c>
      <x:c r="L7" s="96" t="n">
        <x:v>25288965610.96</x:v>
      </x:c>
      <x:c r="M7" s="96" t="n">
        <x:f>K7-L7</x:f>
        <x:v>3519644262.2400017</x:v>
      </x:c>
    </x:row>
    <x:row r="8" ht="30" customHeight="1">
      <x:c r="A8" t="s">
        <x:v>200</x:v>
      </x:c>
      <x:c r="B8" s="19">
        <x:v>80960050214.880005</x:v>
      </x:c>
      <x:c r="C8" s="19">
        <x:v>26454648534.59</x:v>
      </x:c>
      <x:c r="D8" s="19">
        <x:v>54505401680.290001</x:v>
      </x:c>
      <x:c r="E8" s="19">
        <x:v>33938305238.970001</x:v>
      </x:c>
      <x:c r="F8" s="19">
        <x:v>26503989463.68</x:v>
      </x:c>
      <x:c r="G8" s="19">
        <x:v>7434315775.29</x:v>
      </x:c>
      <x:c r="H8" s="19">
        <x:v>-1554516708.3499999</x:v>
      </x:c>
      <x:c r="I8" s="19">
        <x:v>1103118915.1300001</x:v>
      </x:c>
      <x:c r="J8" s="21">
        <x:v>1.208310568192752</x:v>
      </x:c>
      <x:c r="K8" s="96" t="n">
        <x:v>31965431402.17</x:v>
      </x:c>
      <x:c r="L8" s="96" t="n">
        <x:v>26454648534.59</x:v>
      </x:c>
      <x:c r="M8" s="96" t="n">
        <x:f>K8-L8</x:f>
        <x:v>5510782867.579998</x:v>
      </x:c>
    </x:row>
    <x:row r="16">
      <x:c r="B16" s="9"/>
    </x:row>
  </x:sheetData>
  <x:mergeCells>
    <x:mergeCell ref="A2:H2"/>
    <x:mergeCell ref="A1:H1"/>
  </x:mergeCells>
  <x:pageMargins left="0.7" right="0.7" top="0.75" bottom="0.75" header="0.3" footer="0.3"/>
  <x:tableParts count="1">
    <x:tablePart xmlns:r="http://schemas.openxmlformats.org/officeDocument/2006/relationships" r:id="Re2e56745f2a24437"/>
  </x:tableParts>
</x:worksheet>
</file>

<file path=xl/worksheets/sheet15.xml><?xml version="1.0" encoding="utf-8"?>
<x:worksheet xmlns:x="http://schemas.openxmlformats.org/spreadsheetml/2006/main">
  <x:sheetFormatPr baseColWidth="10" defaultColWidth="9" defaultRowHeight="14"/>
  <x:cols>
    <x:col min="1" max="1" width="16" customWidth="1"/>
    <x:col min="2" max="5" width="18" customWidth="1"/>
    <x:col min="6" max="6" width="22" customWidth="1"/>
    <x:col min="7" max="7" width="18"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37</x:v>
      </x:c>
      <x:c r="B4" s="1" t="s">
        <x:v>201</x:v>
      </x:c>
      <x:c r="C4" s="1" t="s">
        <x:v>202</x:v>
      </x:c>
      <x:c r="D4" s="1" t="s">
        <x:v>203</x:v>
      </x:c>
      <x:c r="E4" s="1" t="s">
        <x:v>204</x:v>
      </x:c>
      <x:c r="F4" s="1" t="s">
        <x:v>205</x:v>
      </x:c>
      <x:c r="G4" s="1" t="s">
        <x:v>206</x:v>
      </x:c>
    </x:row>
    <x:row r="5">
      <x:c r="A5" s="2" t="s">
        <x:v>150</x:v>
      </x:c>
      <x:c r="B5" s="20" t="n">
        <x:f>'14_Estados_financieros'!J5</x:f>
        <x:v>1.5917721856480738</x:v>
      </x:c>
      <x:c r="C5" s="7" t="n">
        <x:f>'14_Estados_financieros'!C5/'14_Estados_financieros'!B5</x:f>
        <x:v>0.15561306950976828</x:v>
      </x:c>
      <x:c r="D5" s="7" t="n">
        <x:f>'14_Estados_financieros'!G5/'14_Estados_financieros'!E5</x:f>
        <x:v>0.2685246256228213</x:v>
      </x:c>
      <x:c r="E5" s="7" t="n">
        <x:f>'14_Estados_financieros'!I5/'14_Estados_financieros'!E5</x:f>
        <x:v>-0.025162156608309852</x:v>
      </x:c>
      <x:c r="F5" s="18" t="n">
        <x:f>'14_Estados_financieros'!M5</x:f>
        <x:v>6250072761.68</x:v>
      </x:c>
      <x:c r="G5" s="7" t="n">
        <x:f>'14_Estados_financieros'!F5/'14_Estados_financieros'!E5</x:f>
        <x:v>0.7314753743771786</x:v>
      </x:c>
    </x:row>
    <x:row r="6">
      <x:c r="A6" s="2" t="s">
        <x:v>46</x:v>
      </x:c>
      <x:c r="B6" s="20" t="n">
        <x:f>'14_Estados_financieros'!J6</x:f>
        <x:v>1.782043923995841</x:v>
      </x:c>
      <x:c r="C6" s="7" t="n">
        <x:f>'14_Estados_financieros'!C6/'14_Estados_financieros'!B6</x:f>
        <x:v>0.14527376729097535</x:v>
      </x:c>
      <x:c r="D6" s="7" t="n">
        <x:f>'14_Estados_financieros'!G6/'14_Estados_financieros'!E6</x:f>
        <x:v>0.2707021913823044</x:v>
      </x:c>
      <x:c r="E6" s="7" t="n">
        <x:f>'14_Estados_financieros'!I6/'14_Estados_financieros'!E6</x:f>
        <x:v>-0.0031596675128354903</x:v>
      </x:c>
      <x:c r="F6" s="18" t="n">
        <x:f>'14_Estados_financieros'!M6</x:f>
        <x:v>7588530396.730001</x:v>
      </x:c>
      <x:c r="G6" s="7" t="n">
        <x:f>'14_Estados_financieros'!F6/'14_Estados_financieros'!E6</x:f>
        <x:v>0.7292978086176957</x:v>
      </x:c>
    </x:row>
    <x:row r="7">
      <x:c r="A7" s="2" t="s">
        <x:v>49</x:v>
      </x:c>
      <x:c r="B7" s="20" t="n">
        <x:f>'14_Estados_financieros'!J7</x:f>
        <x:v>1.13917707494982</x:v>
      </x:c>
      <x:c r="C7" s="7" t="n">
        <x:f>'14_Estados_financieros'!C7/'14_Estados_financieros'!B7</x:f>
        <x:v>0.32136949969993045</x:v>
      </x:c>
      <x:c r="D7" s="7" t="n">
        <x:f>'14_Estados_financieros'!G7/'14_Estados_financieros'!E7</x:f>
        <x:v>0.1591870611884673</x:v>
      </x:c>
      <x:c r="E7" s="7" t="n">
        <x:f>'14_Estados_financieros'!I7/'14_Estados_financieros'!E7</x:f>
        <x:v>-0.05581016734537747</x:v>
      </x:c>
      <x:c r="F7" s="18" t="n">
        <x:f>'14_Estados_financieros'!M7</x:f>
        <x:v>3519644262.2400017</x:v>
      </x:c>
      <x:c r="G7" s="7" t="n">
        <x:f>'14_Estados_financieros'!F7/'14_Estados_financieros'!E7</x:f>
        <x:v>0.8408129388115327</x:v>
      </x:c>
    </x:row>
    <x:row r="8">
      <x:c r="A8" t="s">
        <x:v>200</x:v>
      </x:c>
      <x:c r="B8" s="21" t="n">
        <x:f>'14_Estados_financieros'!J8</x:f>
        <x:v>1.208310568192752</x:v>
      </x:c>
      <x:c r="C8" s="22" t="n">
        <x:f>'14_Estados_financieros'!C8/'14_Estados_financieros'!B8</x:f>
        <x:v>0.32676176045315475</x:v>
      </x:c>
      <x:c r="D8" s="22" t="n">
        <x:f>'14_Estados_financieros'!G8/'14_Estados_financieros'!E8</x:f>
        <x:v>0.21905383085403662</x:v>
      </x:c>
      <x:c r="E8" s="22" t="n">
        <x:f>'14_Estados_financieros'!I8/'14_Estados_financieros'!E8</x:f>
        <x:v>0.0325036535372819</x:v>
      </x:c>
      <x:c r="F8" s="19" t="n">
        <x:f>'14_Estados_financieros'!M8</x:f>
        <x:v>5510782867.579998</x:v>
      </x:c>
      <x:c r="G8" s="22" t="n">
        <x:f>'14_Estados_financieros'!F8/'14_Estados_financieros'!E8</x:f>
        <x:v>0.7809461691459634</x:v>
      </x:c>
    </x:row>
    <x:row r="11" ht="28" customHeight="1">
      <x:c r="A11" s="64" t="str">
        <x:v>Estados e indicadores de la E.S.E. completa. Capital de trabajo calculado como activo corriente menos pasivo corriente. Fuentes verificadas: EEFF 2024, p. 2, para 2023/2024; EEFF 2025, p. 2; y EEFF junio 2026, p. 1.</x:v>
      </x:c>
      <x:c r="B11" s="64"/>
      <x:c r="C11" s="64"/>
      <x:c r="D11" s="64"/>
      <x:c r="E11" s="64"/>
      <x:c r="F11" s="64"/>
      <x:c r="G11" s="64"/>
    </x:row>
    <x:row r="12" ht="28" customHeight="1">
      <x:c r="A12" s="64"/>
      <x:c r="B12" s="64"/>
      <x:c r="C12" s="64"/>
      <x:c r="D12" s="64"/>
      <x:c r="E12" s="64"/>
      <x:c r="F12" s="64"/>
      <x:c r="G12" s="64"/>
    </x:row>
    <x:row r="13" ht="28" customHeight="1">
      <x:c r="A13" s="64"/>
      <x:c r="B13" s="64"/>
      <x:c r="C13" s="64"/>
      <x:c r="D13" s="64"/>
      <x:c r="E13" s="64"/>
      <x:c r="F13" s="64"/>
      <x:c r="G13" s="64"/>
    </x:row>
    <x:row r="16">
      <x:c r="B16" s="9"/>
    </x:row>
  </x:sheetData>
  <x:mergeCells>
    <x:mergeCell ref="A2:H2"/>
    <x:mergeCell ref="A1:H1"/>
    <x:mergeCell ref="A11:G13"/>
  </x:mergeCells>
  <x:pageMargins left="0.7" right="0.7" top="0.75" bottom="0.75" header="0.3" footer="0.3"/>
  <x:tableParts count="1">
    <x:tablePart xmlns:r="http://schemas.openxmlformats.org/officeDocument/2006/relationships" r:id="R0f69a7088bf244aa"/>
  </x:tableParts>
</x:worksheet>
</file>

<file path=xl/worksheets/sheet16.xml><?xml version="1.0" encoding="utf-8"?>
<x:worksheet xmlns:x="http://schemas.openxmlformats.org/spreadsheetml/2006/main">
  <x:sheetFormatPr baseColWidth="10" defaultColWidth="9" defaultRowHeight="14"/>
  <x:cols>
    <x:col min="1" max="1" width="32" customWidth="1"/>
    <x:col min="2" max="2" width="2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41</x:v>
      </x:c>
      <x:c r="B4" s="1" t="s">
        <x:v>207</x:v>
      </x:c>
    </x:row>
    <x:row r="5">
      <x:c r="A5" s="2" t="s">
        <x:v>45</x:v>
      </x:c>
      <x:c r="B5" s="3">
        <x:v>665</x:v>
      </x:c>
    </x:row>
    <x:row r="6">
      <x:c r="A6" s="2" t="s">
        <x:v>48</x:v>
      </x:c>
      <x:c r="B6" s="3">
        <x:v>89</x:v>
      </x:c>
    </x:row>
    <x:row r="7">
      <x:c r="A7" s="2" t="s">
        <x:v>51</x:v>
      </x:c>
      <x:c r="B7" s="3">
        <x:v>47</x:v>
      </x:c>
    </x:row>
    <x:row r="8">
      <x:c r="A8" s="2" t="s">
        <x:v>54</x:v>
      </x:c>
      <x:c r="B8" s="3">
        <x:v>5</x:v>
      </x:c>
    </x:row>
    <x:row r="9">
      <x:c r="A9" s="2" t="s">
        <x:v>56</x:v>
      </x:c>
      <x:c r="B9" s="3">
        <x:v>2</x:v>
      </x:c>
    </x:row>
    <x:row r="10">
      <x:c r="A10" s="2" t="s">
        <x:v>208</x:v>
      </x:c>
      <x:c r="B10" s="3">
        <x:v>1</x:v>
      </x:c>
    </x:row>
    <x:row r="11">
      <x:c r="A11" s="2" t="s">
        <x:v>209</x:v>
      </x:c>
      <x:c r="B11" s="3">
        <x:v>1</x:v>
      </x:c>
    </x:row>
    <x:row r="12">
      <x:c r="A12" s="2" t="s">
        <x:v>134</x:v>
      </x:c>
      <x:c r="B12" s="3">
        <x:v>2</x:v>
      </x:c>
    </x:row>
    <x:row r="16">
      <x:c r="B16" s="9"/>
    </x:row>
  </x:sheetData>
  <x:mergeCells>
    <x:mergeCell ref="A2:H2"/>
    <x:mergeCell ref="A1:H1"/>
  </x:mergeCells>
  <x:pageMargins left="0.7" right="0.7" top="0.75" bottom="0.75" header="0.3" footer="0.3"/>
  <x:drawing xmlns:r="http://schemas.openxmlformats.org/officeDocument/2006/relationships" r:id="R20914c03564e4eee"/>
  <x:tableParts count="1">
    <x:tablePart xmlns:r="http://schemas.openxmlformats.org/officeDocument/2006/relationships" r:id="Rc0e35334f01c485e"/>
  </x:tableParts>
</x:worksheet>
</file>

<file path=xl/worksheets/sheet17.xml><?xml version="1.0" encoding="utf-8"?>
<x:worksheet xmlns:x="http://schemas.openxmlformats.org/spreadsheetml/2006/main">
  <x:sheetFormatPr baseColWidth="10" defaultColWidth="9" defaultRowHeight="14"/>
  <x:cols>
    <x:col min="1" max="1" width="52" customWidth="1"/>
    <x:col min="2" max="2" width="2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210</x:v>
      </x:c>
      <x:c r="B4" s="1" t="s">
        <x:v>207</x:v>
      </x:c>
    </x:row>
    <x:row r="5">
      <x:c r="A5" s="2" t="s">
        <x:v>211</x:v>
      </x:c>
      <x:c r="B5" s="3">
        <x:v>545</x:v>
      </x:c>
    </x:row>
    <x:row r="6">
      <x:c r="A6" s="2" t="s">
        <x:v>212</x:v>
      </x:c>
      <x:c r="B6" s="3">
        <x:v>73</x:v>
      </x:c>
    </x:row>
    <x:row r="7">
      <x:c r="A7" s="2" t="s">
        <x:v>213</x:v>
      </x:c>
      <x:c r="B7" s="3">
        <x:v>51</x:v>
      </x:c>
    </x:row>
    <x:row r="8">
      <x:c r="A8" s="2" t="s">
        <x:v>214</x:v>
      </x:c>
      <x:c r="B8" s="3">
        <x:v>46</x:v>
      </x:c>
    </x:row>
    <x:row r="9">
      <x:c r="A9" s="2" t="s">
        <x:v>215</x:v>
      </x:c>
      <x:c r="B9" s="3">
        <x:v>25</x:v>
      </x:c>
    </x:row>
    <x:row r="10">
      <x:c r="A10" s="2" t="s">
        <x:v>216</x:v>
      </x:c>
      <x:c r="B10" s="3">
        <x:v>12</x:v>
      </x:c>
    </x:row>
    <x:row r="11">
      <x:c r="A11" s="2" t="s">
        <x:v>217</x:v>
      </x:c>
      <x:c r="B11" s="3">
        <x:v>11</x:v>
      </x:c>
    </x:row>
    <x:row r="12">
      <x:c r="A12" s="2" t="s">
        <x:v>218</x:v>
      </x:c>
      <x:c r="B12" s="3">
        <x:v>49</x:v>
      </x:c>
    </x:row>
    <x:row r="16">
      <x:c r="B16" s="9"/>
    </x:row>
  </x:sheetData>
  <x:mergeCells>
    <x:mergeCell ref="A2:H2"/>
    <x:mergeCell ref="A1:H1"/>
  </x:mergeCells>
  <x:pageMargins left="0.7" right="0.7" top="0.75" bottom="0.75" header="0.3" footer="0.3"/>
  <x:tableParts count="1">
    <x:tablePart xmlns:r="http://schemas.openxmlformats.org/officeDocument/2006/relationships" r:id="R85e127d102174abf"/>
  </x:tableParts>
</x:worksheet>
</file>

<file path=xl/worksheets/sheet18.xml><?xml version="1.0" encoding="utf-8"?>
<x:worksheet xmlns:x="http://schemas.openxmlformats.org/spreadsheetml/2006/main">
  <x:sheetViews>
    <x:sheetView showGridLines="0" workbookViewId="0"/>
  </x:sheetViews>
  <x:sheetFormatPr baseColWidth="10" defaultColWidth="9" defaultRowHeight="14"/>
  <x:cols>
    <x:col min="1" max="1" width="57" hidden="0" customWidth="1"/>
    <x:col min="2" max="2" width="16" hidden="0" customWidth="1"/>
    <x:col min="3" max="3" width="19" hidden="0" customWidth="1"/>
    <x:col min="4" max="4" width="58"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34" customHeight="1">
      <x:c r="A4" s="57" t="str">
        <x:v>Categoría documental</x:v>
      </x:c>
      <x:c r="B4" s="57" t="str">
        <x:v>Registros</x:v>
      </x:c>
      <x:c r="C4" s="57" t="str">
        <x:v>Participación</x:v>
      </x:c>
      <x:c r="D4" s="57" t="str">
        <x:v>Alcance</x:v>
      </x:c>
    </x:row>
    <x:row r="5" ht="38" customHeight="1">
      <x:c r="A5" s="45" t="str">
        <x:v>Total de registros de inventario</x:v>
      </x:c>
      <x:c r="B5" s="59" t="n">
        <x:f>ROWS('32_Inventario_biomedico'!$A$5:$A$198)</x:f>
        <x:v>194</x:v>
      </x:c>
      <x:c r="C5" s="45"/>
      <x:c r="D5" s="45" t="str">
        <x:v>No equivale a activos únicos acreditados</x:v>
      </x:c>
    </x:row>
    <x:row r="6" ht="38" customHeight="1">
      <x:c r="A6" s="45" t="str">
        <x:v>Operativo explícito sin incidencia pendiente consignada</x:v>
      </x:c>
      <x:c r="B6" s="59" t="n">
        <x:f>COUNTIFS('32_Inventario_biomedico'!$K$5:$K$198,A6)</x:f>
        <x:v>106</x:v>
      </x:c>
      <x:c r="C6" s="60" t="n">
        <x:f>B6/$B$5</x:f>
        <x:v>0.5463917525773195</x:v>
      </x:c>
      <x:c r="D6" s="45" t="str">
        <x:v>Condición consignada en fuentes de fechas distintas</x:v>
      </x:c>
    </x:row>
    <x:row r="7" ht="38" customHeight="1">
      <x:c r="A7" s="45" t="str">
        <x:v>Operativo con observaciones</x:v>
      </x:c>
      <x:c r="B7" s="59" t="n">
        <x:f>COUNTIFS('32_Inventario_biomedico'!$K$5:$K$198,A7)</x:f>
        <x:v>66</x:v>
      </x:c>
      <x:c r="C7" s="60" t="n">
        <x:f>B7/$B$5</x:f>
        <x:v>0.3402061855670103</x:v>
      </x:c>
      <x:c r="D7" s="45" t="str">
        <x:v>Condición consignada en fuentes de fechas distintas</x:v>
      </x:c>
    </x:row>
    <x:row r="8" ht="38" customHeight="1">
      <x:c r="A8" s="45" t="str">
        <x:v>Fuera de servicio explícito</x:v>
      </x:c>
      <x:c r="B8" s="59" t="n">
        <x:f>COUNTIFS('32_Inventario_biomedico'!$K$5:$K$198,A8)</x:f>
        <x:v>5</x:v>
      </x:c>
      <x:c r="C8" s="60" t="n">
        <x:f>B8/$B$5</x:f>
        <x:v>0.02577319587628866</x:v>
      </x:c>
      <x:c r="D8" s="45" t="str">
        <x:v>Condición consignada en fuentes de fechas distintas</x:v>
      </x:c>
    </x:row>
    <x:row r="9" ht="38" customHeight="1">
      <x:c r="A9" s="45" t="str">
        <x:v>Condición técnica por verificar</x:v>
      </x:c>
      <x:c r="B9" s="59" t="n">
        <x:f>COUNTIFS('32_Inventario_biomedico'!$K$5:$K$198,A9)</x:f>
        <x:v>12</x:v>
      </x:c>
      <x:c r="C9" s="60" t="n">
        <x:f>B9/$B$5</x:f>
        <x:v>0.061855670103092786</x:v>
      </x:c>
      <x:c r="D9" s="45" t="str">
        <x:v>Condición consignada en fuentes de fechas distintas</x:v>
      </x:c>
    </x:row>
    <x:row r="10" ht="38" customHeight="1">
      <x:c r="A10" s="45" t="str">
        <x:v>Intervención en proceso</x:v>
      </x:c>
      <x:c r="B10" s="59" t="n">
        <x:f>COUNTIFS('32_Inventario_biomedico'!$K$5:$K$198,A10)</x:f>
        <x:v>1</x:v>
      </x:c>
      <x:c r="C10" s="60" t="n">
        <x:f>B10/$B$5</x:f>
        <x:v>0.005154639175257732</x:v>
      </x:c>
      <x:c r="D10" s="45" t="str">
        <x:v>Condición consignada en fuentes de fechas distintas</x:v>
      </x:c>
    </x:row>
    <x:row r="11" ht="38" customHeight="1">
      <x:c r="A11" s="45" t="str">
        <x:v>Asociación descriptiva por corroborar</x:v>
      </x:c>
      <x:c r="B11" s="59" t="n">
        <x:f>COUNTIFS('32_Inventario_biomedico'!$K$5:$K$198,A11)</x:f>
        <x:v>2</x:v>
      </x:c>
      <x:c r="C11" s="60" t="n">
        <x:f>B11/$B$5</x:f>
        <x:v>0.010309278350515464</x:v>
      </x:c>
      <x:c r="D11" s="45" t="str">
        <x:v>Condición consignada en fuentes de fechas distintas</x:v>
      </x:c>
    </x:row>
    <x:row r="12" ht="38" customHeight="1">
      <x:c r="A12" s="45" t="str">
        <x:v>Sin reporte individual en certificación</x:v>
      </x:c>
      <x:c r="B12" s="59" t="n">
        <x:f>COUNTIFS('32_Inventario_biomedico'!$K$5:$K$198,A12)</x:f>
        <x:v>1</x:v>
      </x:c>
      <x:c r="C12" s="60" t="n">
        <x:f>B12/$B$5</x:f>
        <x:v>0.005154639175257732</x:v>
      </x:c>
      <x:c r="D12" s="45" t="str">
        <x:v>Condición consignada en fuentes de fechas distintas</x:v>
      </x:c>
    </x:row>
    <x:row r="13" ht="38" customHeight="1">
      <x:c r="A13" s="45" t="str">
        <x:v>Traslado a otra sede registrado</x:v>
      </x:c>
      <x:c r="B13" s="59" t="n">
        <x:f>COUNTIFS('32_Inventario_biomedico'!$K$5:$K$198,A13)</x:f>
        <x:v>1</x:v>
      </x:c>
      <x:c r="C13" s="60" t="n">
        <x:f>B13/$B$5</x:f>
        <x:v>0.005154639175257732</x:v>
      </x:c>
      <x:c r="D13" s="45" t="str">
        <x:v>Condición consignada en fuentes de fechas distintas</x:v>
      </x:c>
    </x:row>
    <x:row r="16" ht="34" customHeight="1">
      <x:c r="A16" s="57" t="str">
        <x:v>Conciliación de 15 registros</x:v>
      </x:c>
      <x:c r="B16" s="57" t="str">
        <x:v>Cantidad</x:v>
      </x:c>
      <x:c r="C16" s="57" t="str">
        <x:v>Unidad</x:v>
      </x:c>
      <x:c r="D16" s="57" t="str">
        <x:v>Lectura</x:v>
      </x:c>
    </x:row>
    <x:row r="17" ht="36" customHeight="1">
      <x:c r="A17" s="45" t="str">
        <x:v>Inicialmente no ubicados</x:v>
      </x:c>
      <x:c r="B17" s="45" t="n">
        <x:f>ROWS('33_Conciliacion_biomedica'!$A$5:$A$19)</x:f>
        <x:v>15</x:v>
      </x:c>
      <x:c r="C17" s="45" t="str">
        <x:v>Registros</x:v>
      </x:c>
      <x:c r="D17" s="45" t="str">
        <x:v>Inventario fuente</x:v>
      </x:c>
    </x:row>
    <x:row r="18" ht="36" customHeight="1">
      <x:c r="A18" s="45" t="str">
        <x:v>Reportes individuales anexos</x:v>
      </x:c>
      <x:c r="B18" s="45" t="n">
        <x:f>COUNTIFS('33_Conciliacion_biomedica'!$J$5:$J$19,"placa")+COUNTIFS('33_Conciliacion_biomedica'!$J$5:$J$19,"serie")+COUNTIFS('33_Conciliacion_biomedica'!$J$5:$J$19,"descripcion")</x:f>
        <x:v>14</x:v>
      </x:c>
      <x:c r="C18" s="45" t="str">
        <x:v>Reportes</x:v>
      </x:c>
      <x:c r="D18" s="45" t="str">
        <x:v>No se cuentan como nuevas filas de inventario</x:v>
      </x:c>
    </x:row>
    <x:row r="19" ht="36" customHeight="1">
      <x:c r="A19" s="45" t="str">
        <x:v>Vínculo por placa o serie</x:v>
      </x:c>
      <x:c r="B19" s="45" t="n">
        <x:f>COUNTIFS('33_Conciliacion_biomedica'!$J$5:$J$19,"placa")+COUNTIFS('33_Conciliacion_biomedica'!$J$5:$J$19,"serie")</x:f>
        <x:v>12</x:v>
      </x:c>
      <x:c r="C19" s="45" t="str">
        <x:v>Registros</x:v>
      </x:c>
      <x:c r="D19" s="45" t="str">
        <x:v>10 por placa y 2 por serie</x:v>
      </x:c>
    </x:row>
    <x:row r="20" ht="36" customHeight="1">
      <x:c r="A20" s="45" t="str">
        <x:v>Asociaciones descriptivas</x:v>
      </x:c>
      <x:c r="B20" s="45" t="n">
        <x:f>COUNTIFS('33_Conciliacion_biomedica'!$J$5:$J$19,"descripcion")</x:f>
        <x:v>2</x:v>
      </x:c>
      <x:c r="C20" s="45" t="str">
        <x:v>Registros</x:v>
      </x:c>
      <x:c r="D20" s="45" t="str">
        <x:v>Identidad por corroborar</x:v>
      </x:c>
    </x:row>
    <x:row r="21" ht="36" customHeight="1">
      <x:c r="A21" s="45" t="str">
        <x:v>Sin reporte individual</x:v>
      </x:c>
      <x:c r="B21" s="45" t="n">
        <x:f>COUNTIFS('33_Conciliacion_biomedica'!$J$5:$J$19,"sin_reporte")</x:f>
        <x:v>1</x:v>
      </x:c>
      <x:c r="C21" s="45" t="str">
        <x:v>Registro</x:v>
      </x:c>
      <x:c r="D21" s="45" t="str">
        <x:v>Placa 8631, serie 25689-334</x:v>
      </x:c>
    </x:row>
    <x:row r="22" ht="36" customHeight="1">
      <x:c r="A22" s="45" t="str">
        <x:v>Cobertura documental por reporte</x:v>
      </x:c>
      <x:c r="B22" s="60" t="n">
        <x:f>B18/B17</x:f>
        <x:v>0.9333333333333333</x:v>
      </x:c>
      <x:c r="C22" s="45" t="str">
        <x:v>Reportes / 15</x:v>
      </x:c>
      <x:c r="D22" s="45" t="str">
        <x:v>No mide disponibilidad técnica</x:v>
      </x:c>
    </x:row>
    <x:row r="25" ht="34" customHeight="1">
      <x:c r="A25" s="64" t="str">
        <x:v>Consolidación documental de fuentes con fechas distintas. No es inspección física nueva ni disponibilidad simultánea. El 95% es meta, no resultado observado. Ver nota completa en 34_Certificacion_nota.</x:v>
      </x:c>
      <x:c r="B25" s="64"/>
      <x:c r="C25" s="64"/>
      <x:c r="D25" s="64"/>
    </x:row>
    <x:row r="26" ht="34" customHeight="1">
      <x:c r="A26" s="64"/>
      <x:c r="B26" s="64"/>
      <x:c r="C26" s="64"/>
      <x:c r="D26" s="64"/>
    </x:row>
  </x:sheetData>
  <x:mergeCells>
    <x:mergeCell ref="A2:H2"/>
    <x:mergeCell ref="A1:H1"/>
    <x:mergeCell ref="A25:D26"/>
  </x:mergeCells>
  <x:pageMargins left="0.7" right="0.7" top="0.75" bottom="0.75" header="0.3" footer="0.3"/>
  <x:drawing xmlns:r="http://schemas.openxmlformats.org/officeDocument/2006/relationships" r:id="Rda11222e66f24e48"/>
  <x:tableParts count="1">
    <x:tablePart xmlns:r="http://schemas.openxmlformats.org/officeDocument/2006/relationships" r:id="Rbb67d96fecfd4638"/>
  </x:tableParts>
</x:worksheet>
</file>

<file path=xl/worksheets/sheet19.xml><?xml version="1.0" encoding="utf-8"?>
<x:worksheet xmlns:x="http://schemas.openxmlformats.org/spreadsheetml/2006/main">
  <x:sheetFormatPr baseColWidth="10" defaultColWidth="9" defaultRowHeight="14"/>
  <x:cols>
    <x:col min="1" max="1" width="38" customWidth="1"/>
    <x:col min="2" max="2" width="18"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219</x:v>
      </x:c>
      <x:c r="B4" s="1" t="s">
        <x:v>207</x:v>
      </x:c>
    </x:row>
    <x:row r="5">
      <x:c r="A5" s="2" t="s">
        <x:v>220</x:v>
      </x:c>
      <x:c r="B5" s="3">
        <x:v>26</x:v>
      </x:c>
    </x:row>
    <x:row r="6">
      <x:c r="A6" s="2" t="s">
        <x:v>221</x:v>
      </x:c>
      <x:c r="B6" s="3">
        <x:v>9</x:v>
      </x:c>
    </x:row>
    <x:row r="7">
      <x:c r="A7" s="2" t="s">
        <x:v>222</x:v>
      </x:c>
      <x:c r="B7" s="3">
        <x:v>7</x:v>
      </x:c>
    </x:row>
    <x:row r="8">
      <x:c r="A8" s="2" t="s">
        <x:v>223</x:v>
      </x:c>
      <x:c r="B8" s="3">
        <x:v>5</x:v>
      </x:c>
    </x:row>
    <x:row r="9">
      <x:c r="A9" s="2" t="s">
        <x:v>224</x:v>
      </x:c>
      <x:c r="B9" s="3">
        <x:v>5</x:v>
      </x:c>
    </x:row>
    <x:row r="16">
      <x:c r="B16" s="9"/>
    </x:row>
  </x:sheetData>
  <x:mergeCells>
    <x:mergeCell ref="A2:H2"/>
    <x:mergeCell ref="A1:H1"/>
  </x:mergeCells>
  <x:pageMargins left="0.7" right="0.7" top="0.75" bottom="0.75" header="0.3" footer="0.3"/>
  <x:tableParts count="1">
    <x:tablePart xmlns:r="http://schemas.openxmlformats.org/officeDocument/2006/relationships" r:id="R7eefede94600462d"/>
  </x:tableParts>
</x:worksheet>
</file>

<file path=xl/worksheets/sheet20.xml><?xml version="1.0" encoding="utf-8"?>
<x:worksheet xmlns:x="http://schemas.openxmlformats.org/spreadsheetml/2006/main">
  <x:sheetFormatPr baseColWidth="10" defaultColWidth="9" defaultRowHeight="14"/>
  <x:cols>
    <x:col min="1" max="1" width="34" customWidth="1"/>
    <x:col min="2" max="7" width="12" customWidth="1"/>
    <x:col min="8" max="8" width="20" customWidth="1"/>
    <x:col min="9" max="9" width="14" customWidth="1"/>
    <x:col min="10" max="10" width="18"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38" customHeight="1">
      <x:c r="A4" s="1" t="s">
        <x:v>28</x:v>
      </x:c>
      <x:c r="B4" s="1" t="s">
        <x:v>225</x:v>
      </x:c>
      <x:c r="C4" s="1" t="s">
        <x:v>226</x:v>
      </x:c>
      <x:c r="D4" s="1" t="s">
        <x:v>227</x:v>
      </x:c>
      <x:c r="E4" s="1" t="s">
        <x:v>228</x:v>
      </x:c>
      <x:c r="F4" s="1" t="s">
        <x:v>171</x:v>
      </x:c>
      <x:c r="G4" s="1" t="s">
        <x:v>229</x:v>
      </x:c>
      <x:c r="H4" s="1" t="s">
        <x:v>230</x:v>
      </x:c>
      <x:c r="I4" s="1" t="s">
        <x:v>231</x:v>
      </x:c>
      <x:c r="J4" s="1" t="str">
        <x:v>Puntaje calculado /5</x:v>
      </x:c>
    </x:row>
    <x:row r="5" ht="30" customHeight="1">
      <x:c r="A5" s="2" t="s">
        <x:v>30</x:v>
      </x:c>
      <x:c r="B5" s="4">
        <x:v>4.2</x:v>
      </x:c>
      <x:c r="C5" s="4">
        <x:v>4.5</x:v>
      </x:c>
      <x:c r="D5" s="4">
        <x:v>3.7</x:v>
      </x:c>
      <x:c r="E5" s="4">
        <x:v>2.7</x:v>
      </x:c>
      <x:c r="F5" s="4">
        <x:v>3.2</x:v>
      </x:c>
      <x:c r="G5" s="4">
        <x:v>4</x:v>
      </x:c>
      <x:c r="H5" s="4">
        <x:v>4.5</x:v>
      </x:c>
      <x:c r="I5" s="4">
        <x:v>4.3</x:v>
      </x:c>
      <x:c r="J5" s="67" t="n">
        <x:f>IF(OR(COUNT($B$10:$I$10)&lt;&gt;8,MIN($B$10:$I$10)&lt;0,ABS(SUM($B$10:$I$10)-1)&gt;0.00000001),"n.d.",SUMPRODUCT(B5:I5,$B$10:$I$10))</x:f>
        <x:v>3.8874999999999997</x:v>
      </x:c>
    </x:row>
    <x:row r="6" ht="30" customHeight="1">
      <x:c r="A6" s="2" t="s">
        <x:v>31</x:v>
      </x:c>
      <x:c r="B6" s="4">
        <x:v>4</x:v>
      </x:c>
      <x:c r="C6" s="4">
        <x:v>4.2</x:v>
      </x:c>
      <x:c r="D6" s="4">
        <x:v>4.0999999999999996</x:v>
      </x:c>
      <x:c r="E6" s="4">
        <x:v>3.8</x:v>
      </x:c>
      <x:c r="F6" s="4">
        <x:v>4.0999999999999996</x:v>
      </x:c>
      <x:c r="G6" s="4">
        <x:v>3.5</x:v>
      </x:c>
      <x:c r="H6" s="4">
        <x:v>3.2</x:v>
      </x:c>
      <x:c r="I6" s="4">
        <x:v>4</x:v>
      </x:c>
      <x:c r="J6" s="67" t="n">
        <x:f>IF(OR(COUNT($B$10:$I$10)&lt;&gt;8,MIN($B$10:$I$10)&lt;0,ABS(SUM($B$10:$I$10)-1)&gt;0.00000001),"n.d.",SUMPRODUCT(B6:I6,$B$10:$I$10))</x:f>
        <x:v>3.8624999999999994</x:v>
      </x:c>
    </x:row>
    <x:row r="7" ht="30" customHeight="1">
      <x:c r="A7" s="2" t="s">
        <x:v>34</x:v>
      </x:c>
      <x:c r="B7" s="4">
        <x:v>2.2000000000000002</x:v>
      </x:c>
      <x:c r="C7" s="4">
        <x:v>2</x:v>
      </x:c>
      <x:c r="D7" s="4">
        <x:v>2.8</x:v>
      </x:c>
      <x:c r="E7" s="4">
        <x:v>3.4</x:v>
      </x:c>
      <x:c r="F7" s="4">
        <x:v>2.8</x:v>
      </x:c>
      <x:c r="G7" s="4">
        <x:v>2.6</x:v>
      </x:c>
      <x:c r="H7" s="4">
        <x:v>2.2999999999999998</x:v>
      </x:c>
      <x:c r="I7" s="4">
        <x:v>1.9</x:v>
      </x:c>
      <x:c r="J7" s="67" t="n">
        <x:f>IF(OR(COUNT($B$10:$I$10)&lt;&gt;8,MIN($B$10:$I$10)&lt;0,ABS(SUM($B$10:$I$10)-1)&gt;0.00000001),"n.d.",SUMPRODUCT(B7:I7,$B$10:$I$10))</x:f>
        <x:v>2.4999999999999996</x:v>
      </x:c>
    </x:row>
    <x:row r="10" ht="28" customHeight="1">
      <x:c r="A10" t="str">
        <x:v>Peso técnico editable</x:v>
      </x:c>
      <x:c r="B10" s="66" t="n">
        <x:v>0.125</x:v>
      </x:c>
      <x:c r="C10" s="66" t="n">
        <x:v>0.125</x:v>
      </x:c>
      <x:c r="D10" s="66" t="n">
        <x:v>0.125</x:v>
      </x:c>
      <x:c r="E10" s="66" t="n">
        <x:v>0.125</x:v>
      </x:c>
      <x:c r="F10" s="66" t="n">
        <x:v>0.125</x:v>
      </x:c>
      <x:c r="G10" s="66" t="n">
        <x:v>0.125</x:v>
      </x:c>
      <x:c r="H10" s="66" t="n">
        <x:v>0.125</x:v>
      </x:c>
      <x:c r="I10" s="66" t="n">
        <x:v>0.125</x:v>
      </x:c>
      <x:c r="J10" s="65" t="n">
        <x:f>SUM(B10:I10)</x:f>
        <x:v>1</x:v>
      </x:c>
    </x:row>
    <x:row r="12">
      <x:c r="A12" t="str">
        <x:v>Control de pesos</x:v>
      </x:c>
      <x:c r="B12" t="str">
        <x:f>IF(AND(COUNT(B10:I10)=8,MIN(B10:I10)&gt;=0,ABS(J10-1)&lt;0.00000001),"Suman 100%","Revisar ponderaciones")</x:f>
        <x:v>Suman 100%</x:v>
      </x:c>
    </x:row>
    <x:row r="13">
      <x:c r="A13" t="str">
        <x:v>Mayor puntaje</x:v>
      </x:c>
      <x:c r="B13" t="str">
        <x:f>IF(COUNT(J5:J7)=3,INDEX(A5:A7,MATCH(MAX(J5:J7),J5:J7,0)),"No calculable")</x:f>
        <x:v>Continuidad optimizada</x:v>
      </x:c>
    </x:row>
    <x:row r="16" ht="32" customHeight="1">
      <x:c r="A16" s="64" t="str">
        <x:v>Pesos iniciales uniformes 12,5% por criterio, ante ausencia de ponderaciones documentadas para los ocho criterios. Se conserva la calificación original. Mayor nota implica mejor resultado/control, incluido menor riesgo de implementación.</x:v>
      </x:c>
      <x:c r="B16" s="64"/>
      <x:c r="C16" s="64"/>
      <x:c r="D16" s="64"/>
      <x:c r="E16" s="64"/>
      <x:c r="F16" s="64"/>
      <x:c r="G16" s="64"/>
      <x:c r="H16" s="64"/>
      <x:c r="I16" s="64"/>
      <x:c r="J16" s="64"/>
    </x:row>
    <x:row r="17" ht="32" customHeight="1">
      <x:c r="A17" s="64"/>
      <x:c r="B17" s="64"/>
      <x:c r="C17" s="64"/>
      <x:c r="D17" s="64"/>
      <x:c r="E17" s="64"/>
      <x:c r="F17" s="64"/>
      <x:c r="G17" s="64"/>
      <x:c r="H17" s="64"/>
      <x:c r="I17" s="64"/>
      <x:c r="J17" s="64"/>
    </x:row>
    <x:row r="19" ht="30" customHeight="1">
      <x:c r="A19" s="64" t="str">
        <x:v>La comparación uniforme de ocho criterios otorga una ligera ventaja a la continuidad optimizada (3,8875/5 frente a 3,8625/5). La tercerización se conserva como recomendación estratégica condicionada del estudio; esta comparación no demuestra su superioridad y exige verificar salvaguardas, costos y capacidad de implementación.</x:v>
      </x:c>
      <x:c r="B19" s="64"/>
      <x:c r="C19" s="64"/>
      <x:c r="D19" s="64"/>
      <x:c r="E19" s="64"/>
      <x:c r="F19" s="64"/>
      <x:c r="G19" s="64"/>
      <x:c r="H19" s="64"/>
      <x:c r="I19" s="64"/>
      <x:c r="J19" s="64"/>
    </x:row>
    <x:row r="20" ht="30" customHeight="1">
      <x:c r="A20" s="64"/>
      <x:c r="B20" s="64"/>
      <x:c r="C20" s="64"/>
      <x:c r="D20" s="64"/>
      <x:c r="E20" s="64"/>
      <x:c r="F20" s="64"/>
      <x:c r="G20" s="64"/>
      <x:c r="H20" s="64"/>
      <x:c r="I20" s="64"/>
      <x:c r="J20" s="64"/>
    </x:row>
    <x:row r="21" ht="30" customHeight="1">
      <x:c r="A21" s="64"/>
      <x:c r="B21" s="64"/>
      <x:c r="C21" s="64"/>
      <x:c r="D21" s="64"/>
      <x:c r="E21" s="64"/>
      <x:c r="F21" s="64"/>
      <x:c r="G21" s="64"/>
      <x:c r="H21" s="64"/>
      <x:c r="I21" s="64"/>
      <x:c r="J21" s="64"/>
    </x:row>
    <x:row r="23" ht="30" customHeight="1">
      <x:c r="A23" s="64" t="str">
        <x:v>Los puntajes anteriores 3,82/3,91/2,54 y 79/100 se retiran del ranking vigente porque no tenían una ponderación común reproducible. No se ajustan pesos para reproducir el orden anterior.</x:v>
      </x:c>
      <x:c r="B23" s="64"/>
      <x:c r="C23" s="64"/>
      <x:c r="D23" s="64"/>
      <x:c r="E23" s="64"/>
      <x:c r="F23" s="64"/>
      <x:c r="G23" s="64"/>
      <x:c r="H23" s="64"/>
      <x:c r="I23" s="64"/>
      <x:c r="J23" s="64"/>
    </x:row>
    <x:row r="24" ht="30" customHeight="1">
      <x:c r="A24" s="64"/>
      <x:c r="B24" s="64"/>
      <x:c r="C24" s="64"/>
      <x:c r="D24" s="64"/>
      <x:c r="E24" s="64"/>
      <x:c r="F24" s="64"/>
      <x:c r="G24" s="64"/>
      <x:c r="H24" s="64"/>
      <x:c r="I24" s="64"/>
      <x:c r="J24" s="64"/>
    </x:row>
  </x:sheetData>
  <x:mergeCells>
    <x:mergeCell ref="A2:H2"/>
    <x:mergeCell ref="A1:H1"/>
    <x:mergeCell ref="A16:J17"/>
    <x:mergeCell ref="A19:J21"/>
    <x:mergeCell ref="A23:J24"/>
  </x:mergeCells>
  <x:pageMargins left="0.7" right="0.7" top="0.75" bottom="0.75" header="0.3" footer="0.3"/>
  <x:drawing xmlns:r="http://schemas.openxmlformats.org/officeDocument/2006/relationships" r:id="R1e4b99148a894d05"/>
  <x:tableParts count="1">
    <x:tablePart xmlns:r="http://schemas.openxmlformats.org/officeDocument/2006/relationships" r:id="Raedbb12fd34c4788"/>
  </x:tableParts>
</x:worksheet>
</file>

<file path=xl/worksheets/sheet21.xml><?xml version="1.0" encoding="utf-8"?>
<x:worksheet xmlns:x="http://schemas.openxmlformats.org/spreadsheetml/2006/main">
  <x:sheetViews>
    <x:sheetView showGridLines="0" workbookViewId="0"/>
  </x:sheetViews>
  <x:sheetFormatPr baseColWidth="10" defaultColWidth="9" defaultRowHeight="14"/>
  <x:cols>
    <x:col min="1" max="1" width="38" hidden="0" customWidth="1"/>
    <x:col min="2" max="7" width="18" customWidth="1"/>
    <x:col min="8" max="8" width="26" hidden="0" customWidth="1"/>
    <x:col min="2" max="2" width="22" hidden="0" customWidth="1"/>
    <x:col min="3" max="3" width="22" hidden="0" customWidth="1"/>
    <x:col min="5" max="5" width="37" hidden="0" customWidth="1"/>
    <x:col min="6" max="6" width="22" hidden="0" customWidth="1"/>
    <x:col min="7" max="7" width="42" hidden="0" customWidth="1"/>
    <x:col min="4" max="4" width="24" hidden="0" customWidth="1"/>
    <x:col min="9" max="9" width="26" hidden="0" customWidth="1"/>
    <x:col min="10" max="10" width="26"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36" customHeight="1">
      <x:c r="A4" s="1" t="s">
        <x:v>101</x:v>
      </x:c>
      <x:c r="B4" s="1" t="s">
        <x:v>26</x:v>
      </x:c>
      <x:c r="C4" s="1" t="s">
        <x:v>232</x:v>
      </x:c>
      <x:c r="E4" s="47" t="str">
        <x:v>Base / dato faltante</x:v>
      </x:c>
      <x:c r="F4" s="47" t="str">
        <x:v>Valor</x:v>
      </x:c>
      <x:c r="G4" s="47" t="str">
        <x:v>Fuente / definición</x:v>
      </x:c>
    </x:row>
    <x:row r="5" ht="36" customHeight="1">
      <x:c r="A5" s="2" t="s">
        <x:v>233</x:v>
      </x:c>
      <x:c r="B5" s="69" t="n">
        <x:v>5</x:v>
      </x:c>
      <x:c r="C5" s="2" t="s">
        <x:v>234</x:v>
      </x:c>
      <x:c r="E5" s="45" t="str">
        <x:v>Año anual base</x:v>
      </x:c>
      <x:c r="F5" s="74" t="n">
        <x:v>2025</x:v>
      </x:c>
      <x:c r="G5" s="45" t="str">
        <x:v>Último año completo del anexo aceptado</x:v>
      </x:c>
    </x:row>
    <x:row r="6" ht="36" customHeight="1">
      <x:c r="A6" s="2" t="s">
        <x:v>235</x:v>
      </x:c>
      <x:c r="B6" s="70" t="n">
        <x:v>0.03</x:v>
      </x:c>
      <x:c r="C6" s="2" t="str">
        <x:v>anual</x:v>
      </x:c>
      <x:c r="E6" s="45" t="str">
        <x:v>Pacientes reportados base</x:v>
      </x:c>
      <x:c r="F6" s="75" t="n">
        <x:f>'07_Pacientes'!B7</x:f>
        <x:v>33630</x:v>
      </x:c>
      <x:c r="G6" s="45" t="str">
        <x:v>07_Pacientes!B7; no suma multiperiodo</x:v>
      </x:c>
    </x:row>
    <x:row r="7" ht="36" customHeight="1">
      <x:c r="A7" s="2" t="s">
        <x:v>236</x:v>
      </x:c>
      <x:c r="B7" s="70">
        <x:v>0.06</x:v>
      </x:c>
      <x:c r="C7" s="2" t="str">
        <x:v>anual</x:v>
      </x:c>
      <x:c r="E7" s="45" t="str">
        <x:v>Costo por absorción base</x:v>
      </x:c>
      <x:c r="F7" s="76" t="n">
        <x:f>'12_Costos_CAIMI'!B7</x:f>
        <x:v>9828115932.47</x:v>
      </x:c>
      <x:c r="G7" s="45" t="str">
        <x:v>12_Costos_CAIMI!B7</x:v>
      </x:c>
    </x:row>
    <x:row r="8" ht="36" customHeight="1">
      <x:c r="A8" s="2" t="s">
        <x:v>237</x:v>
      </x:c>
      <x:c r="B8" s="70">
        <x:v>0.2</x:v>
      </x:c>
      <x:c r="C8" s="2" t="str">
        <x:v>reducción</x:v>
      </x:c>
      <x:c r="E8" s="45" t="str">
        <x:v>Facturación anual base</x:v>
      </x:c>
      <x:c r="F8" s="76" t="n">
        <x:f>SUM('13_Costos_por_centro'!O14:O21)</x:f>
        <x:v>9535465884</x:v>
      </x:c>
      <x:c r="G8" s="45" t="str">
        <x:v>Suma de centros 2025; 13_Costos_por_centro!O14:O21</x:v>
      </x:c>
    </x:row>
    <x:row r="9" ht="36" customHeight="1">
      <x:c r="A9" s="2" t="s">
        <x:v>238</x:v>
      </x:c>
      <x:c r="B9" s="70">
        <x:v>0.92</x:v>
      </x:c>
      <x:c r="C9" s="2" t="str">
        <x:v>de facturación</x:v>
      </x:c>
      <x:c r="E9" s="45" t="str">
        <x:v>Glosa monetaria anual base</x:v>
      </x:c>
      <x:c r="F9" s="77"/>
      <x:c r="G9" s="45" t="str">
        <x:v>No aportada. 812 es conteo de registros</x:v>
      </x:c>
    </x:row>
    <x:row r="10" ht="36" customHeight="1">
      <x:c r="A10" s="2" t="s">
        <x:v>239</x:v>
      </x:c>
      <x:c r="B10" s="70">
        <x:v>0.95</x:v>
      </x:c>
      <x:c r="C10" s="2" t="str">
        <x:v>meta</x:v>
      </x:c>
      <x:c r="E10" s="45" t="str">
        <x:v>CAPEX / inversión adicional</x:v>
      </x:c>
      <x:c r="F10" s="77"/>
      <x:c r="G10" s="45" t="str">
        <x:v>No determinado. No se infiere de la certificación</x:v>
      </x:c>
    </x:row>
    <x:row r="11" ht="36" customHeight="1">
      <x:c r="A11" s="2" t="s">
        <x:v>240</x:v>
      </x:c>
      <x:c r="B11" s="70">
        <x:v>0.1</x:v>
      </x:c>
      <x:c r="C11" s="2" t="str">
        <x:v>anual</x:v>
      </x:c>
      <x:c r="E11" s="45" t="str">
        <x:v>Recaudo observado</x:v>
      </x:c>
      <x:c r="F11" s="77"/>
      <x:c r="G11" s="45" t="str">
        <x:v>No determinado; el 92% es meta de simulación</x:v>
      </x:c>
    </x:row>
    <x:row r="12" ht="30" customHeight="1">
      <x:c r="A12" s="64" t="str">
        <x:v>Simulación a cinco años desde la base anual 2025. Demanda 3%, costos 6%, meta recaudo 92%; tarifa y mezcla constantes. Glosas monetarias, CAPEX y recaudo observado no están acreditados. Las celdas grises admiten datos respaldados.</x:v>
      </x:c>
      <x:c r="B12" s="64"/>
      <x:c r="C12" s="64"/>
      <x:c r="D12" s="64"/>
      <x:c r="E12" s="64"/>
      <x:c r="F12" s="64"/>
      <x:c r="G12" s="64"/>
      <x:c r="H12" s="64"/>
      <x:c r="I12" s="64"/>
      <x:c r="J12" s="64"/>
    </x:row>
    <x:row r="13" ht="30" customHeight="1">
      <x:c r="A13" s="64"/>
      <x:c r="B13" s="64"/>
      <x:c r="C13" s="64"/>
      <x:c r="D13" s="64"/>
      <x:c r="E13" s="64"/>
      <x:c r="F13" s="64"/>
      <x:c r="G13" s="64"/>
      <x:c r="H13" s="64"/>
      <x:c r="I13" s="64"/>
      <x:c r="J13" s="64"/>
    </x:row>
    <x:row r="15" ht="46" customHeight="1">
      <x:c r="A15" s="57" t="str">
        <x:v>Año simulado</x:v>
      </x:c>
      <x:c r="B15" s="57" t="str">
        <x:v>Pacientes estimados</x:v>
      </x:c>
      <x:c r="C15" s="57" t="str">
        <x:v>Costo anual base</x:v>
      </x:c>
      <x:c r="D15" s="57" t="str">
        <x:v>Costo proyectado</x:v>
      </x:c>
      <x:c r="E15" s="57" t="str">
        <x:v>Glosa monetaria base</x:v>
      </x:c>
      <x:c r="F15" s="57" t="str">
        <x:v>Glosa monetaria ajustada</x:v>
      </x:c>
      <x:c r="G15" s="57" t="str">
        <x:v>Recaudo meta</x:v>
      </x:c>
      <x:c r="H15" s="57" t="str">
        <x:v>Recaudo meta menos costo absorbido</x:v>
      </x:c>
      <x:c r="I15" s="57" t="str">
        <x:v>Facturación simulada</x:v>
      </x:c>
      <x:c r="J15" s="57" t="str">
        <x:v>Facturación menos costo</x:v>
      </x:c>
    </x:row>
    <x:row r="16" ht="30" customHeight="1">
      <x:c r="A16" s="90" t="n">
        <x:v>1</x:v>
      </x:c>
      <x:c r="B16" s="91" t="n">
        <x:f>$F$6*(1+$B$6)^A16</x:f>
        <x:v>34638.9</x:v>
      </x:c>
      <x:c r="C16" s="92" t="n">
        <x:f>$F$7</x:f>
        <x:v>9828115932.47</x:v>
      </x:c>
      <x:c r="D16" s="92" t="n">
        <x:f>C16*(1+$B$7)^A16</x:f>
        <x:v>10417802888.4182</x:v>
      </x:c>
      <x:c r="E16" s="92" t="str">
        <x:f>IF(ISNUMBER($F$9),$F$9,"n.d.")</x:f>
        <x:v>n.d.</x:v>
      </x:c>
      <x:c r="F16" s="92" t="str">
        <x:f>IF(ISNUMBER(E16),E16*(1-$B$8),"n.d.")</x:f>
        <x:v>n.d.</x:v>
      </x:c>
      <x:c r="G16" s="92" t="n">
        <x:f>I16*$B$9</x:f>
        <x:v>9035807471.6784</x:v>
      </x:c>
      <x:c r="H16" s="92" t="n">
        <x:f>G16-D16</x:f>
        <x:v>-1381995416.7397995</x:v>
      </x:c>
      <x:c r="I16" s="93" t="n">
        <x:f>$F$8*(1+$B$6)^A16</x:f>
        <x:v>9821529860.52</x:v>
      </x:c>
      <x:c r="J16" s="93" t="n">
        <x:f>I16-D16</x:f>
        <x:v>-596273027.8981991</x:v>
      </x:c>
    </x:row>
    <x:row r="17" ht="30" customHeight="1">
      <x:c r="A17" s="90" t="n">
        <x:v>2</x:v>
      </x:c>
      <x:c r="B17" s="90" t="n">
        <x:f>$F$6*(1+$B$6)^A17</x:f>
        <x:v>35678.066999999995</x:v>
      </x:c>
      <x:c r="C17" s="92" t="n">
        <x:f>$F$7</x:f>
        <x:v>9828115932.47</x:v>
      </x:c>
      <x:c r="D17" s="92" t="n">
        <x:f>C17*(1+$B$7)^A17</x:f>
        <x:v>11042871061.723293</x:v>
      </x:c>
      <x:c r="E17" s="92" t="str">
        <x:f>IF(ISNUMBER($F$9),$F$9,"n.d.")</x:f>
        <x:v>n.d.</x:v>
      </x:c>
      <x:c r="F17" s="92" t="str">
        <x:f>IF(ISNUMBER(E17),E17*(1-$B$8),"n.d.")</x:f>
        <x:v>n.d.</x:v>
      </x:c>
      <x:c r="G17" s="92" t="n">
        <x:f>I17*$B$9</x:f>
        <x:v>9306881695.828753</x:v>
      </x:c>
      <x:c r="H17" s="92" t="n">
        <x:f>G17-D17</x:f>
        <x:v>-1735989365.8945408</x:v>
      </x:c>
      <x:c r="I17" s="93" t="n">
        <x:f>$F$8*(1+$B$6)^A17</x:f>
        <x:v>10116175756.3356</x:v>
      </x:c>
      <x:c r="J17" s="93" t="n">
        <x:f>I17-D17</x:f>
        <x:v>-926695305.3876934</x:v>
      </x:c>
    </x:row>
    <x:row r="18" ht="30" customHeight="1">
      <x:c r="A18" s="90" t="n">
        <x:v>3</x:v>
      </x:c>
      <x:c r="B18" s="90" t="n">
        <x:f>$F$6*(1+$B$6)^A18</x:f>
        <x:v>36748.40901</x:v>
      </x:c>
      <x:c r="C18" s="92" t="n">
        <x:f>$F$7</x:f>
        <x:v>9828115932.47</x:v>
      </x:c>
      <x:c r="D18" s="92" t="n">
        <x:f>C18*(1+$B$7)^A18</x:f>
        <x:v>11705443325.42669</x:v>
      </x:c>
      <x:c r="E18" s="92" t="str">
        <x:f>IF(ISNUMBER($F$9),$F$9,"n.d.")</x:f>
        <x:v>n.d.</x:v>
      </x:c>
      <x:c r="F18" s="92" t="str">
        <x:f>IF(ISNUMBER(E18),E18*(1-$B$8),"n.d.")</x:f>
        <x:v>n.d.</x:v>
      </x:c>
      <x:c r="G18" s="92" t="n">
        <x:f>I18*$B$9</x:f>
        <x:v>9586088146.703613</x:v>
      </x:c>
      <x:c r="H18" s="92" t="n">
        <x:f>G18-D18</x:f>
        <x:v>-2119355178.7230759</x:v>
      </x:c>
      <x:c r="I18" s="93" t="n">
        <x:f>$F$8*(1+$B$6)^A18</x:f>
        <x:v>10419661029.025667</x:v>
      </x:c>
      <x:c r="J18" s="93" t="n">
        <x:f>I18-D18</x:f>
        <x:v>-1285782296.401022</x:v>
      </x:c>
    </x:row>
    <x:row r="19" ht="30" customHeight="1">
      <x:c r="A19" s="90" t="n">
        <x:v>4</x:v>
      </x:c>
      <x:c r="B19" s="90" t="n">
        <x:f>$F$6*(1+$B$6)^A19</x:f>
        <x:v>37850.86128030001</x:v>
      </x:c>
      <x:c r="C19" s="92" t="n">
        <x:f>$F$7</x:f>
        <x:v>9828115932.47</x:v>
      </x:c>
      <x:c r="D19" s="92" t="n">
        <x:f>C19*(1+$B$7)^A19</x:f>
        <x:v>12407769924.952293</x:v>
      </x:c>
      <x:c r="E19" s="92" t="str">
        <x:f>IF(ISNUMBER($F$9),$F$9,"n.d.")</x:f>
        <x:v>n.d.</x:v>
      </x:c>
      <x:c r="F19" s="92" t="str">
        <x:f>IF(ISNUMBER(E19),E19*(1-$B$8),"n.d.")</x:f>
        <x:v>n.d.</x:v>
      </x:c>
      <x:c r="G19" s="92" t="n">
        <x:f>I19*$B$9</x:f>
        <x:v>9873670791.104725</x:v>
      </x:c>
      <x:c r="H19" s="92" t="n">
        <x:f>G19-D19</x:f>
        <x:v>-2534099133.8475685</x:v>
      </x:c>
      <x:c r="I19" s="93" t="n">
        <x:f>$F$8*(1+$B$6)^A19</x:f>
        <x:v>10732250859.896439</x:v>
      </x:c>
      <x:c r="J19" s="93" t="n">
        <x:f>I19-D19</x:f>
        <x:v>-1675519065.0558548</x:v>
      </x:c>
    </x:row>
    <x:row r="20" ht="30" customHeight="1">
      <x:c r="A20" s="90" t="n">
        <x:v>5</x:v>
      </x:c>
      <x:c r="B20" s="90" t="n">
        <x:f>$F$6*(1+$B$6)^A20</x:f>
        <x:v>38986.387118709004</x:v>
      </x:c>
      <x:c r="C20" s="92" t="n">
        <x:f>$F$7</x:f>
        <x:v>9828115932.47</x:v>
      </x:c>
      <x:c r="D20" s="92" t="n">
        <x:f>C20*(1+$B$7)^A20</x:f>
        <x:v>13152236120.44943</x:v>
      </x:c>
      <x:c r="E20" s="92" t="str">
        <x:f>IF(ISNUMBER($F$9),$F$9,"n.d.")</x:f>
        <x:v>n.d.</x:v>
      </x:c>
      <x:c r="F20" s="92" t="str">
        <x:f>IF(ISNUMBER(E20),E20*(1-$B$8),"n.d.")</x:f>
        <x:v>n.d.</x:v>
      </x:c>
      <x:c r="G20" s="92" t="n">
        <x:f>I20*$B$9</x:f>
        <x:v>10169880914.837866</x:v>
      </x:c>
      <x:c r="H20" s="92" t="n">
        <x:f>G20-D20</x:f>
        <x:v>-2982355205.6115646</x:v>
      </x:c>
      <x:c r="I20" s="93" t="n">
        <x:f>$F$8*(1+$B$6)^A20</x:f>
        <x:v>11054218385.693333</x:v>
      </x:c>
      <x:c r="J20" s="93" t="n">
        <x:f>I20-D20</x:f>
        <x:v>-2098017734.7560978</x:v>
      </x:c>
    </x:row>
    <x:row r="22" ht="30" customHeight="1">
      <x:c r="A22" s="64" t="str">
        <x:v>La diferencia entre recaudo meta y costo por absorción es ilustrativa: no es flujo de caja ni utilidad neta. El modelo no determina la rentabilidad de un contrato de tercerización ni demuestra ahorros por equipos localizados.</x:v>
      </x:c>
      <x:c r="B22" s="64"/>
      <x:c r="C22" s="64"/>
      <x:c r="D22" s="64"/>
      <x:c r="E22" s="64"/>
      <x:c r="F22" s="64"/>
      <x:c r="G22" s="64"/>
      <x:c r="H22" s="64"/>
      <x:c r="I22" s="64"/>
      <x:c r="J22" s="64"/>
    </x:row>
    <x:row r="23" ht="30" customHeight="1">
      <x:c r="A23" s="64"/>
      <x:c r="B23" s="64"/>
      <x:c r="C23" s="64"/>
      <x:c r="D23" s="64"/>
      <x:c r="E23" s="64"/>
      <x:c r="F23" s="64"/>
      <x:c r="G23" s="64"/>
      <x:c r="H23" s="64"/>
      <x:c r="I23" s="64"/>
      <x:c r="J23" s="64"/>
    </x:row>
  </x:sheetData>
  <x:mergeCells>
    <x:mergeCell ref="A2:H2"/>
    <x:mergeCell ref="A1:H1"/>
    <x:mergeCell ref="A12:J13"/>
    <x:mergeCell ref="A22:J23"/>
  </x:mergeCells>
  <x:pageMargins left="0.7" right="0.7" top="0.75" bottom="0.75" header="0.3" footer="0.3"/>
  <x:drawing xmlns:r="http://schemas.openxmlformats.org/officeDocument/2006/relationships" r:id="R4d4006845f754dda"/>
  <x:tableParts count="1">
    <x:tablePart xmlns:r="http://schemas.openxmlformats.org/officeDocument/2006/relationships" r:id="R9924f51619794aad"/>
  </x:tableParts>
</x:worksheet>
</file>

<file path=xl/worksheets/sheet22.xml><?xml version="1.0" encoding="utf-8"?>
<x:worksheet xmlns:x="http://schemas.openxmlformats.org/spreadsheetml/2006/main">
  <x:sheetFormatPr baseColWidth="10" defaultColWidth="9" defaultRowHeight="14"/>
  <x:cols>
    <x:col min="1" max="1" width="30" customWidth="1"/>
    <x:col min="2" max="2" width="54" customWidth="1"/>
    <x:col min="3" max="3" width="5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241</x:v>
      </x:c>
      <x:c r="B4" s="1" t="s">
        <x:v>242</x:v>
      </x:c>
      <x:c r="C4" s="1" t="s">
        <x:v>243</x:v>
      </x:c>
    </x:row>
    <x:row r="5" ht="50" customHeight="1">
      <x:c r="A5" s="2" t="s">
        <x:v>244</x:v>
      </x:c>
      <x:c r="B5" s="2" t="str">
        <x:v>Demanda 3%, inflación de costos 6%, meta recaudo 92%; glosa monetaria no determinada</x:v>
      </x:c>
      <x:c r="C5" s="2" t="str">
        <x:v>Comparación ilustrativa; no prueba viabilidad contractual</x:v>
      </x:c>
    </x:row>
    <x:row r="6" ht="50" customHeight="1">
      <x:c r="A6" s="2" t="s">
        <x:v>245</x:v>
      </x:c>
      <x:c r="B6" s="2" t="s">
        <x:v>246</x:v>
      </x:c>
      <x:c r="C6" s="2" t="s">
        <x:v>247</x:v>
      </x:c>
    </x:row>
    <x:row r="7" ht="50" customHeight="1">
      <x:c r="A7" s="2" t="s">
        <x:v>248</x:v>
      </x:c>
      <x:c r="B7" s="2" t="str">
        <x:v>Aumentar productividad y reducir glosa sólo con soportes monetarios</x:v>
      </x:c>
      <x:c r="C7" s="2" t="str">
        <x:v>Validar margen y salvaguardas antes de adoptar el modelo</x:v>
      </x:c>
    </x:row>
    <x:row r="8" ht="50" customHeight="1">
      <x:c r="A8" s="2" t="s">
        <x:v>249</x:v>
      </x:c>
      <x:c r="B8" s="2" t="s">
        <x:v>250</x:v>
      </x:c>
      <x:c r="C8" s="2" t="s">
        <x:v>251</x:v>
      </x:c>
    </x:row>
    <x:row r="11" ht="28" customHeight="1">
      <x:c r="A11" s="64" t="str">
        <x:v>La comparación uniforme de ocho criterios otorga una ligera ventaja a la continuidad optimizada (3,8875/5 frente a 3,8625/5). La tercerización se conserva como recomendación estratégica condicionada del estudio; esta comparación no demuestra su superioridad y exige verificar salvaguardas, costos y capacidad de implementación.</x:v>
      </x:c>
      <x:c r="B11" s="64"/>
      <x:c r="C11" s="64"/>
      <x:c r="D11" s="64"/>
      <x:c r="E11" s="64"/>
      <x:c r="F11" s="64"/>
      <x:c r="G11" s="64"/>
      <x:c r="H11" s="64"/>
    </x:row>
    <x:row r="12" ht="28" customHeight="1">
      <x:c r="A12" s="64"/>
      <x:c r="B12" s="64"/>
      <x:c r="C12" s="64"/>
      <x:c r="D12" s="64"/>
      <x:c r="E12" s="64"/>
      <x:c r="F12" s="64"/>
      <x:c r="G12" s="64"/>
      <x:c r="H12" s="64"/>
    </x:row>
    <x:row r="13" ht="28" customHeight="1">
      <x:c r="A13" s="64"/>
      <x:c r="B13" s="64"/>
      <x:c r="C13" s="64"/>
      <x:c r="D13" s="64"/>
      <x:c r="E13" s="64"/>
      <x:c r="F13" s="64"/>
      <x:c r="G13" s="64"/>
      <x:c r="H13" s="64"/>
    </x:row>
    <x:row r="16">
      <x:c r="B16" s="9"/>
    </x:row>
  </x:sheetData>
  <x:mergeCells>
    <x:mergeCell ref="A2:H2"/>
    <x:mergeCell ref="A1:H1"/>
    <x:mergeCell ref="A11:H13"/>
  </x:mergeCells>
  <x:pageMargins left="0.7" right="0.7" top="0.75" bottom="0.75" header="0.3" footer="0.3"/>
  <x:tableParts count="1">
    <x:tablePart xmlns:r="http://schemas.openxmlformats.org/officeDocument/2006/relationships" r:id="R0fedeeae06914fde"/>
  </x:tableParts>
</x:worksheet>
</file>

<file path=xl/worksheets/sheet23.xml><?xml version="1.0" encoding="utf-8"?>
<x:worksheet xmlns:x="http://schemas.openxmlformats.org/spreadsheetml/2006/main">
  <x:sheetFormatPr baseColWidth="10" defaultColWidth="9" defaultRowHeight="14"/>
  <x:cols>
    <x:col min="1" max="1" width="28" customWidth="1"/>
    <x:col min="2" max="2" width="24" customWidth="1"/>
    <x:col min="3" max="4" width="18" customWidth="1"/>
    <x:col min="5" max="5" width="22" customWidth="1"/>
    <x:col min="6" max="6" width="5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25</x:v>
      </x:c>
      <x:c r="B4" s="1" t="s">
        <x:v>57</x:v>
      </x:c>
      <x:c r="C4" s="1" t="s">
        <x:v>252</x:v>
      </x:c>
      <x:c r="D4" s="1" t="s">
        <x:v>253</x:v>
      </x:c>
      <x:c r="E4" s="1" t="s">
        <x:v>113</x:v>
      </x:c>
      <x:c r="F4" s="1" t="s">
        <x:v>59</x:v>
      </x:c>
    </x:row>
    <x:row r="5" ht="48" customHeight="1">
      <x:c r="A5" s="2" t="s">
        <x:v>254</x:v>
      </x:c>
      <x:c r="B5" s="2" t="s">
        <x:v>255</x:v>
      </x:c>
      <x:c r="C5" s="2" t="s">
        <x:v>256</x:v>
      </x:c>
      <x:c r="D5" s="2" t="s">
        <x:v>257</x:v>
      </x:c>
      <x:c r="E5" s="2" t="s">
        <x:v>258</x:v>
      </x:c>
      <x:c r="F5" s="2" t="s">
        <x:v>259</x:v>
      </x:c>
    </x:row>
    <x:row r="6" ht="48" customHeight="1">
      <x:c r="A6" s="2" t="s">
        <x:v>260</x:v>
      </x:c>
      <x:c r="B6" s="2" t="str">
        <x:v>Valor monetario de glosas / facturación del mismo periodo</x:v>
      </x:c>
      <x:c r="C6" s="2" t="s">
        <x:v>261</x:v>
      </x:c>
      <x:c r="D6" s="2" t="s">
        <x:v>257</x:v>
      </x:c>
      <x:c r="E6" s="2" t="s">
        <x:v>228</x:v>
      </x:c>
      <x:c r="F6" s="2" t="str">
        <x:v>Resultado observado no determinado; 812 es conteo</x:v>
      </x:c>
    </x:row>
    <x:row r="7" ht="48" customHeight="1">
      <x:c r="A7" s="2" t="s">
        <x:v>262</x:v>
      </x:c>
      <x:c r="B7" s="2" t="s">
        <x:v>263</x:v>
      </x:c>
      <x:c r="C7" s="2" t="s">
        <x:v>264</x:v>
      </x:c>
      <x:c r="D7" s="2" t="s">
        <x:v>257</x:v>
      </x:c>
      <x:c r="E7" s="2" t="s">
        <x:v>265</x:v>
      </x:c>
      <x:c r="F7" s="2" t="s">
        <x:v>266</x:v>
      </x:c>
    </x:row>
    <x:row r="8" ht="48" customHeight="1">
      <x:c r="A8" s="2" t="s">
        <x:v>267</x:v>
      </x:c>
      <x:c r="B8" s="2" t="str">
        <x:v>Horas disponibles / horas requeridas en periodo definido</x:v>
      </x:c>
      <x:c r="C8" s="2" t="str">
        <x:v>95% (meta, no observado)</x:v>
      </x:c>
      <x:c r="D8" s="2" t="s">
        <x:v>257</x:v>
      </x:c>
      <x:c r="E8" s="2" t="s">
        <x:v>258</x:v>
      </x:c>
      <x:c r="F8" s="2" t="str">
        <x:v>No calculable con inventario de fechas distintas</x:v>
      </x:c>
    </x:row>
    <x:row r="9" ht="48" customHeight="1">
      <x:c r="A9" s="2" t="s">
        <x:v>268</x:v>
      </x:c>
      <x:c r="B9" s="2" t="s">
        <x:v>269</x:v>
      </x:c>
      <x:c r="C9" s="2" t="s">
        <x:v>270</x:v>
      </x:c>
      <x:c r="D9" s="2" t="s">
        <x:v>257</x:v>
      </x:c>
      <x:c r="E9" s="2" t="s">
        <x:v>271</x:v>
      </x:c>
      <x:c r="F9" s="2" t="s">
        <x:v>272</x:v>
      </x:c>
    </x:row>
    <x:row r="10" ht="48" customHeight="1">
      <x:c r="A10" s="2" t="s">
        <x:v>273</x:v>
      </x:c>
      <x:c r="B10" s="2" t="s">
        <x:v>274</x:v>
      </x:c>
      <x:c r="C10" s="2" t="s">
        <x:v>275</x:v>
      </x:c>
      <x:c r="D10" s="2" t="s">
        <x:v>257</x:v>
      </x:c>
      <x:c r="E10" s="2" t="s">
        <x:v>227</x:v>
      </x:c>
      <x:c r="F10" s="2" t="s">
        <x:v>276</x:v>
      </x:c>
    </x:row>
    <x:row r="11" ht="48" customHeight="1">
      <x:c r="A11" s="2" t="s">
        <x:v>277</x:v>
      </x:c>
      <x:c r="B11" s="2" t="s">
        <x:v>278</x:v>
      </x:c>
      <x:c r="C11" s="2" t="s">
        <x:v>279</x:v>
      </x:c>
      <x:c r="D11" s="2" t="s">
        <x:v>257</x:v>
      </x:c>
      <x:c r="E11" s="2" t="s">
        <x:v>280</x:v>
      </x:c>
      <x:c r="F11" s="2" t="s">
        <x:v>281</x:v>
      </x:c>
    </x:row>
    <x:row r="16">
      <x:c r="B16" s="9"/>
    </x:row>
  </x:sheetData>
  <x:mergeCells>
    <x:mergeCell ref="A2:H2"/>
    <x:mergeCell ref="A1:H1"/>
  </x:mergeCells>
  <x:pageMargins left="0.7" right="0.7" top="0.75" bottom="0.75" header="0.3" footer="0.3"/>
  <x:tableParts count="1">
    <x:tablePart xmlns:r="http://schemas.openxmlformats.org/officeDocument/2006/relationships" r:id="Rff75358677864302"/>
  </x:tableParts>
</x:worksheet>
</file>

<file path=xl/worksheets/sheet24.xml><?xml version="1.0" encoding="utf-8"?>
<x:worksheet xmlns:x="http://schemas.openxmlformats.org/spreadsheetml/2006/main">
  <x:sheetFormatPr baseColWidth="10" defaultColWidth="9" defaultRowHeight="14"/>
  <x:cols>
    <x:col min="1" max="1" width="34" customWidth="1"/>
    <x:col min="2" max="2" width="45" customWidth="1"/>
    <x:col min="3" max="3" width="52" customWidth="1"/>
    <x:col min="4" max="4" width="14" customWidth="1"/>
    <x:col min="5" max="5" width="18"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114</x:v>
      </x:c>
      <x:c r="B4" s="1" t="s">
        <x:v>282</x:v>
      </x:c>
      <x:c r="C4" s="1" t="s">
        <x:v>283</x:v>
      </x:c>
      <x:c r="D4" s="1" t="s">
        <x:v>284</x:v>
      </x:c>
      <x:c r="E4" s="1" t="s">
        <x:v>285</x:v>
      </x:c>
    </x:row>
    <x:row r="5" ht="52" customHeight="1">
      <x:c r="A5" s="2" t="s">
        <x:v>286</x:v>
      </x:c>
      <x:c r="B5" s="2" t="s">
        <x:v>287</x:v>
      </x:c>
      <x:c r="C5" s="2" t="s">
        <x:v>288</x:v>
      </x:c>
      <x:c r="D5" s="2" t="s">
        <x:v>289</x:v>
      </x:c>
      <x:c r="E5" s="2" t="s">
        <x:v>66</x:v>
      </x:c>
    </x:row>
    <x:row r="6" ht="52" customHeight="1">
      <x:c r="A6" s="2" t="s">
        <x:v>290</x:v>
      </x:c>
      <x:c r="B6" s="2" t="s">
        <x:v>291</x:v>
      </x:c>
      <x:c r="C6" s="2" t="s">
        <x:v>292</x:v>
      </x:c>
      <x:c r="D6" s="2" t="s">
        <x:v>289</x:v>
      </x:c>
      <x:c r="E6" s="2" t="s">
        <x:v>66</x:v>
      </x:c>
    </x:row>
    <x:row r="7" ht="52" customHeight="1">
      <x:c r="A7" s="2" t="s">
        <x:v>293</x:v>
      </x:c>
      <x:c r="B7" s="2" t="s">
        <x:v>294</x:v>
      </x:c>
      <x:c r="C7" s="2" t="str">
        <x:v>Ejecutar acciones de reportes; corroborar identidades descriptivas y localizar soporte 8631</x:v>
      </x:c>
      <x:c r="D7" s="2" t="s">
        <x:v>289</x:v>
      </x:c>
      <x:c r="E7" s="2" t="s">
        <x:v>84</x:v>
      </x:c>
    </x:row>
    <x:row r="8" ht="52" customHeight="1">
      <x:c r="A8" s="2" t="s">
        <x:v>295</x:v>
      </x:c>
      <x:c r="B8" s="2" t="s">
        <x:v>296</x:v>
      </x:c>
      <x:c r="C8" s="2" t="s">
        <x:v>297</x:v>
      </x:c>
      <x:c r="D8" s="2" t="s">
        <x:v>289</x:v>
      </x:c>
      <x:c r="E8" s="2" t="s">
        <x:v>84</x:v>
      </x:c>
    </x:row>
    <x:row r="9" ht="52" customHeight="1">
      <x:c r="A9" s="2" t="s">
        <x:v>298</x:v>
      </x:c>
      <x:c r="B9" s="2" t="s">
        <x:v>299</x:v>
      </x:c>
      <x:c r="C9" s="2" t="s">
        <x:v>300</x:v>
      </x:c>
      <x:c r="D9" s="2" t="s">
        <x:v>301</x:v>
      </x:c>
      <x:c r="E9" s="2" t="s">
        <x:v>302</x:v>
      </x:c>
    </x:row>
    <x:row r="10" ht="52" customHeight="1">
      <x:c r="A10" t="str">
        <x:v>Identificación individual incompleta</x:v>
      </x:c>
      <x:c r="B10" t="str">
        <x:v>Conclusión excesiva sobre totalidad de activos</x:v>
      </x:c>
      <x:c r="C10" t="str">
        <x:v>Corroborar ítems 181/182, serie 503352 y reporte 8631</x:v>
      </x:c>
      <x:c r="D10" t="str">
        <x:v>Alto</x:v>
      </x:c>
      <x:c r="E10" t="str">
        <x:v>Por evaluar institucionalmente</x:v>
      </x:c>
    </x:row>
    <x:row r="16">
      <x:c r="B16" s="9"/>
    </x:row>
  </x:sheetData>
  <x:mergeCells>
    <x:mergeCell ref="A2:H2"/>
    <x:mergeCell ref="A1:H1"/>
  </x:mergeCells>
  <x:pageMargins left="0.7" right="0.7" top="0.75" bottom="0.75" header="0.3" footer="0.3"/>
  <x:tableParts count="1">
    <x:tablePart xmlns:r="http://schemas.openxmlformats.org/officeDocument/2006/relationships" r:id="R53f020987f6e4568"/>
  </x:tableParts>
</x:worksheet>
</file>

<file path=xl/worksheets/sheet25.xml><?xml version="1.0" encoding="utf-8"?>
<x:worksheet xmlns:x="http://schemas.openxmlformats.org/spreadsheetml/2006/main">
  <x:sheetFormatPr baseColWidth="10" defaultColWidth="9" defaultRowHeight="14"/>
  <x:cols>
    <x:col min="1" max="1" width="18" customWidth="1"/>
    <x:col min="2" max="2" width="56" customWidth="1"/>
    <x:col min="3" max="3" width="36" customWidth="1"/>
    <x:col min="4" max="4" width="30" customWidth="1"/>
    <x:col min="5" max="5" width="16"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233</x:v>
      </x:c>
      <x:c r="B4" s="1" t="s">
        <x:v>303</x:v>
      </x:c>
      <x:c r="C4" s="1" t="s">
        <x:v>304</x:v>
      </x:c>
      <x:c r="D4" s="1" t="s">
        <x:v>15</x:v>
      </x:c>
      <x:c r="E4" s="1" t="s">
        <x:v>305</x:v>
      </x:c>
    </x:row>
    <x:row r="5" ht="50" customHeight="1">
      <x:c r="A5" s="2" t="s">
        <x:v>306</x:v>
      </x:c>
      <x:c r="B5" s="2" t="s">
        <x:v>307</x:v>
      </x:c>
      <x:c r="C5" s="2" t="s">
        <x:v>308</x:v>
      </x:c>
      <x:c r="D5" s="2" t="s">
        <x:v>309</x:v>
      </x:c>
      <x:c r="E5" s="2" t="s">
        <x:v>66</x:v>
      </x:c>
    </x:row>
    <x:row r="6" ht="50" customHeight="1">
      <x:c r="A6" s="2" t="s">
        <x:v>306</x:v>
      </x:c>
      <x:c r="B6" s="2" t="str">
        <x:v>Atender equipos fuera de servicio/intervenciones; corroborar identificadores y soporte 8631</x:v>
      </x:c>
      <x:c r="C6" s="2" t="str">
        <x:v>Plan biomédico y matriz individual con responsables</x:v>
      </x:c>
      <x:c r="D6" s="2" t="s">
        <x:v>310</x:v>
      </x:c>
      <x:c r="E6" s="2" t="s">
        <x:v>66</x:v>
      </x:c>
    </x:row>
    <x:row r="7" ht="50" customHeight="1">
      <x:c r="A7" s="2" t="s">
        <x:v>311</x:v>
      </x:c>
      <x:c r="B7" s="2" t="s">
        <x:v>312</x:v>
      </x:c>
      <x:c r="C7" s="2" t="s">
        <x:v>313</x:v>
      </x:c>
      <x:c r="D7" s="2" t="s">
        <x:v>314</x:v>
      </x:c>
      <x:c r="E7" s="2" t="s">
        <x:v>66</x:v>
      </x:c>
    </x:row>
    <x:row r="8" ht="50" customHeight="1">
      <x:c r="A8" s="2" t="s">
        <x:v>311</x:v>
      </x:c>
      <x:c r="B8" s="2" t="s">
        <x:v>315</x:v>
      </x:c>
      <x:c r="C8" s="2" t="s">
        <x:v>316</x:v>
      </x:c>
      <x:c r="D8" s="2" t="s">
        <x:v>317</x:v>
      </x:c>
      <x:c r="E8" s="2" t="s">
        <x:v>66</x:v>
      </x:c>
    </x:row>
    <x:row r="9" ht="50" customHeight="1">
      <x:c r="A9" s="2" t="s">
        <x:v>318</x:v>
      </x:c>
      <x:c r="B9" s="2" t="s">
        <x:v>319</x:v>
      </x:c>
      <x:c r="C9" s="2" t="s">
        <x:v>320</x:v>
      </x:c>
      <x:c r="D9" s="2" t="s">
        <x:v>321</x:v>
      </x:c>
      <x:c r="E9" s="2" t="s">
        <x:v>84</x:v>
      </x:c>
    </x:row>
    <x:row r="10" ht="50" customHeight="1">
      <x:c r="A10" s="2" t="s">
        <x:v>322</x:v>
      </x:c>
      <x:c r="B10" s="2" t="s">
        <x:v>323</x:v>
      </x:c>
      <x:c r="C10" s="2" t="s">
        <x:v>324</x:v>
      </x:c>
      <x:c r="D10" s="2" t="s">
        <x:v>325</x:v>
      </x:c>
      <x:c r="E10" s="2" t="s">
        <x:v>84</x:v>
      </x:c>
    </x:row>
    <x:row r="16">
      <x:c r="B16" s="9"/>
    </x:row>
  </x:sheetData>
  <x:mergeCells>
    <x:mergeCell ref="A2:H2"/>
    <x:mergeCell ref="A1:H1"/>
  </x:mergeCells>
  <x:pageMargins left="0.7" right="0.7" top="0.75" bottom="0.75" header="0.3" footer="0.3"/>
  <x:tableParts count="1">
    <x:tablePart xmlns:r="http://schemas.openxmlformats.org/officeDocument/2006/relationships" r:id="Rd9cb8a8fc1c34d5c"/>
  </x:tableParts>
</x:worksheet>
</file>

<file path=xl/worksheets/sheet26.xml><?xml version="1.0" encoding="utf-8"?>
<x:worksheet xmlns:x="http://schemas.openxmlformats.org/spreadsheetml/2006/main">
  <x:sheetFormatPr baseColWidth="10" defaultColWidth="9" defaultRowHeight="14"/>
  <x:cols>
    <x:col min="1" max="1" width="54" customWidth="1"/>
    <x:col min="2" max="2" width="44" customWidth="1"/>
    <x:col min="3" max="3" width="34" customWidth="1"/>
    <x:col min="4" max="4" width="22"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326</x:v>
      </x:c>
      <x:c r="B4" s="1" t="s">
        <x:v>327</x:v>
      </x:c>
      <x:c r="C4" s="1" t="s">
        <x:v>328</x:v>
      </x:c>
      <x:c r="D4" s="1" t="s">
        <x:v>16</x:v>
      </x:c>
    </x:row>
    <x:row r="5" ht="52" customHeight="1">
      <x:c r="A5" s="2" t="s">
        <x:v>329</x:v>
      </x:c>
      <x:c r="B5" s="2" t="s">
        <x:v>330</x:v>
      </x:c>
      <x:c r="C5" s="2" t="s">
        <x:v>331</x:v>
      </x:c>
      <x:c r="D5" s="2" t="str">
        <x:v>Verificación documental de supervisión</x:v>
      </x:c>
    </x:row>
    <x:row r="6" ht="52" customHeight="1">
      <x:c r="A6" s="2" t="s">
        <x:v>332</x:v>
      </x:c>
      <x:c r="B6" s="2" t="s">
        <x:v>333</x:v>
      </x:c>
      <x:c r="C6" s="2" t="s">
        <x:v>334</x:v>
      </x:c>
      <x:c r="D6" s="2" t="str">
        <x:v>Producto incorporado; verificación de supervisión</x:v>
      </x:c>
    </x:row>
    <x:row r="7" ht="52" customHeight="1">
      <x:c r="A7" s="2" t="s">
        <x:v>335</x:v>
      </x:c>
      <x:c r="B7" s="2" t="s">
        <x:v>336</x:v>
      </x:c>
      <x:c r="C7" s="2" t="s">
        <x:v>337</x:v>
      </x:c>
      <x:c r="D7" s="2" t="str">
        <x:v>Producto incorporado; verificación de supervisión</x:v>
      </x:c>
    </x:row>
    <x:row r="8" ht="52" customHeight="1">
      <x:c r="A8" s="2" t="s">
        <x:v>338</x:v>
      </x:c>
      <x:c r="B8" s="2" t="s">
        <x:v>339</x:v>
      </x:c>
      <x:c r="C8" s="2" t="s">
        <x:v>340</x:v>
      </x:c>
      <x:c r="D8" s="2" t="str">
        <x:v>Producto incorporado; verificación de supervisión</x:v>
      </x:c>
    </x:row>
    <x:row r="9" ht="52" customHeight="1">
      <x:c r="A9" s="2" t="s">
        <x:v>341</x:v>
      </x:c>
      <x:c r="B9" s="2" t="s">
        <x:v>342</x:v>
      </x:c>
      <x:c r="C9" s="2" t="s">
        <x:v>343</x:v>
      </x:c>
      <x:c r="D9" s="2" t="str">
        <x:v>Producto incorporado; verificación de supervisión</x:v>
      </x:c>
    </x:row>
    <x:row r="10" ht="52" customHeight="1">
      <x:c r="A10" s="2" t="s">
        <x:v>344</x:v>
      </x:c>
      <x:c r="B10" s="2" t="s">
        <x:v>345</x:v>
      </x:c>
      <x:c r="C10" s="2" t="s">
        <x:v>346</x:v>
      </x:c>
      <x:c r="D10" s="2" t="str">
        <x:v>Producto incorporado; verificación de supervisión</x:v>
      </x:c>
    </x:row>
    <x:row r="11" ht="52" customHeight="1">
      <x:c r="A11" s="2" t="s">
        <x:v>347</x:v>
      </x:c>
      <x:c r="B11" s="2" t="s">
        <x:v>348</x:v>
      </x:c>
      <x:c r="C11" s="2" t="s">
        <x:v>349</x:v>
      </x:c>
      <x:c r="D11" s="2" t="str">
        <x:v>Producto incorporado; verificación de supervisión</x:v>
      </x:c>
    </x:row>
    <x:row r="12" ht="52" customHeight="1">
      <x:c r="A12" s="2" t="s">
        <x:v>350</x:v>
      </x:c>
      <x:c r="B12" s="2" t="str">
        <x:v>Paquete final: informe y presentación en PDF, anexos Excel</x:v>
      </x:c>
      <x:c r="C12" s="2" t="s">
        <x:v>351</x:v>
      </x:c>
      <x:c r="D12" s="2" t="str">
        <x:v>Producto incorporado; verificación de supervisión</x:v>
      </x:c>
    </x:row>
    <x:row r="13" ht="52" customHeight="1">
      <x:c r="A13" t="str">
        <x:v>Incorporar certificación biomédica y aclaración</x:v>
      </x:c>
      <x:c r="B13" t="str">
        <x:v>Certificación, 14 reportes y conciliación 15 registros</x:v>
      </x:c>
      <x:c r="C13" t="str">
        <x:v>Informe cap. 14; Excel 32-34; módulo equipos</x:v>
      </x:c>
      <x:c r="D13" t="str">
        <x:v>Actualización documental con reservas individualizadas</x:v>
      </x:c>
    </x:row>
    <x:row r="16">
      <x:c r="B16" s="9"/>
    </x:row>
  </x:sheetData>
  <x:mergeCells>
    <x:mergeCell ref="A2:H2"/>
    <x:mergeCell ref="A1:H1"/>
  </x:mergeCells>
  <x:pageMargins left="0.7" right="0.7" top="0.75" bottom="0.75" header="0.3" footer="0.3"/>
  <x:tableParts count="1">
    <x:tablePart xmlns:r="http://schemas.openxmlformats.org/officeDocument/2006/relationships" r:id="R684f3f9b8a8345c5"/>
  </x:tableParts>
</x:worksheet>
</file>

<file path=xl/worksheets/sheet27.xml><?xml version="1.0" encoding="utf-8"?>
<x:worksheet xmlns:x="http://schemas.openxmlformats.org/spreadsheetml/2006/main">
  <x:sheetFormatPr baseColWidth="10" defaultColWidth="9" defaultRowHeight="14"/>
  <x:cols>
    <x:col min="1" max="1" width="38" customWidth="1"/>
    <x:col min="2" max="2" width="50" customWidth="1"/>
    <x:col min="3" max="3" width="46" customWidth="1"/>
    <x:col min="4" max="4" width="76"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352</x:v>
      </x:c>
      <x:c r="B4" s="1" t="s">
        <x:v>353</x:v>
      </x:c>
      <x:c r="C4" s="1" t="s">
        <x:v>354</x:v>
      </x:c>
      <x:c r="D4" t="str">
        <x:v>Fuente oficial verificada</x:v>
      </x:c>
    </x:row>
    <x:row r="5" ht="64" customHeight="1">
      <x:c r="A5" s="111" t="s">
        <x:v>355</x:v>
      </x:c>
      <x:c r="B5" s="111" t="s">
        <x:v>356</x:v>
      </x:c>
      <x:c r="C5" s="111" t="s">
        <x:v>357</x:v>
      </x:c>
      <x:c r="D5" s="105"/>
    </x:row>
    <x:row r="6" ht="64" customHeight="1">
      <x:c r="A6" s="111" t="str">
        <x:v>Resolución 5185 de 2013 y modificaciones 1440/2024 y 2053/2025</x:v>
      </x:c>
      <x:c r="B6" s="111" t="str">
        <x:v>Estatutos de contratación de E.S.E.; modificación del artículo 9</x:v>
      </x:c>
      <x:c r="C6" s="111" t="s">
        <x:v>358</x:v>
      </x:c>
      <x:c r="D6" s="105" t="str">
        <x:v>https://normograma.supersalud.gov.co/compilacion/docs/resolucion_minsaludps_2053_2025.htm</x:v>
      </x:c>
    </x:row>
    <x:row r="7" ht="64" customHeight="1">
      <x:c r="A7" s="111" t="s">
        <x:v>359</x:v>
      </x:c>
      <x:c r="B7" s="111" t="s">
        <x:v>360</x:v>
      </x:c>
      <x:c r="C7" s="111" t="s">
        <x:v>361</x:v>
      </x:c>
      <x:c r="D7" s="105"/>
    </x:row>
    <x:row r="8" ht="64" customHeight="1">
      <x:c r="A8" s="111" t="str">
        <x:v>Resolución 0948 de 2026</x:v>
      </x:c>
      <x:c r="B8" s="111" t="str">
        <x:v>RIPS como soporte de factura electrónica en salud</x:v>
      </x:c>
      <x:c r="C8" s="111" t="str">
        <x:v>Deroga 2275/2023, 558/2024 y 1884/2024; verificar reglas operativas aplicables</x:v>
      </x:c>
      <x:c r="D8" s="105" t="str">
        <x:v>https://www.minsalud.gov.co/sites/rid/Lists/BibliotecaDigital/RIDE/DE/DIJ/resolucion-0948-de-2026.pdf</x:v>
      </x:c>
    </x:row>
    <x:row r="9" ht="64" customHeight="1">
      <x:c r="A9" s="111" t="s">
        <x:v>362</x:v>
      </x:c>
      <x:c r="B9" s="111" t="s">
        <x:v>363</x:v>
      </x:c>
      <x:c r="C9" s="111" t="s">
        <x:v>364</x:v>
      </x:c>
      <x:c r="D9" s="105"/>
    </x:row>
    <x:row r="10" ht="64" customHeight="1">
      <x:c r="A10" s="111" t="s">
        <x:v>365</x:v>
      </x:c>
      <x:c r="B10" s="111" t="str">
        <x:v>El contrato remite al manual 2025; el archivo 2020 no acredita vigencia actual</x:v>
      </x:c>
      <x:c r="C10" s="111" t="str">
        <x:v>Verificación documental antes de implementación</x:v>
      </x:c>
      <x:c r="D10" s="105"/>
    </x:row>
    <x:row r="11" ht="64" customHeight="1">
      <x:c r="A11" s="105" t="str">
        <x:v>Circular Conjunta 007 de 2025</x:v>
      </x:c>
      <x:c r="B11" s="105" t="str">
        <x:v>MinSalud-Supersalud: evitar barreras y requisitos adicionales no normados</x:v>
      </x:c>
      <x:c r="C11" s="105" t="str">
        <x:v>Radicación y pago de facturación en salud</x:v>
      </x:c>
      <x:c r="D11" s="105" t="str">
        <x:v>https://www.minsalud.gov.co/sites/rid/Lists/BibliotecaDigital/RIDE/DE/DIJ/circular-conjunta-007-de-2025.pdf</x:v>
      </x:c>
    </x:row>
    <x:row r="16">
      <x:c r="B16" s="9"/>
    </x:row>
  </x:sheetData>
  <x:mergeCells>
    <x:mergeCell ref="A2:H2"/>
    <x:mergeCell ref="A1:H1"/>
  </x:mergeCells>
  <x:pageMargins left="0.7" right="0.7" top="0.75" bottom="0.75" header="0.3" footer="0.3"/>
  <x:tableParts count="1">
    <x:tablePart xmlns:r="http://schemas.openxmlformats.org/officeDocument/2006/relationships" r:id="Rad202554950a4ddc"/>
  </x:tableParts>
</x:worksheet>
</file>

<file path=xl/worksheets/sheet28.xml><?xml version="1.0" encoding="utf-8"?>
<x:worksheet xmlns:x="http://schemas.openxmlformats.org/spreadsheetml/2006/main">
  <x:sheetFormatPr baseColWidth="10" defaultColWidth="9" defaultRowHeight="14"/>
  <x:cols>
    <x:col min="1" max="1" width="42" customWidth="1"/>
    <x:col min="2" max="2" width="75"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366</x:v>
      </x:c>
      <x:c r="B4" s="1" t="s">
        <x:v>367</x:v>
      </x:c>
    </x:row>
    <x:row r="5" ht="40" customHeight="1">
      <x:c r="A5" s="2" t="s">
        <x:v>68</x:v>
      </x:c>
      <x:c r="B5" s="2" t="str">
        <x:v>Informe_Final_Consultoria_CAIMI_ESE_CEO.pdf</x:v>
      </x:c>
    </x:row>
    <x:row r="6" ht="40" customHeight="1">
      <x:c r="A6" s="2" t="str">
        <x:v>Anexo base preservado</x:v>
      </x:c>
      <x:c r="B6" s="2" t="str">
        <x:v>Anexos_Modelo_Integral_CAIMI_ESE_CEO_VF (2).xlsx; 27/08/2026</x:v>
      </x:c>
    </x:row>
    <x:row r="7" ht="40" customHeight="1">
      <x:c r="A7" s="2" t="s">
        <x:v>62</x:v>
      </x:c>
      <x:c r="B7" s="2" t="s">
        <x:v>368</x:v>
      </x:c>
    </x:row>
    <x:row r="8" ht="40" customHeight="1">
      <x:c r="A8" s="2" t="s">
        <x:v>369</x:v>
      </x:c>
      <x:c r="B8" s="2" t="s">
        <x:v>370</x:v>
      </x:c>
    </x:row>
    <x:row r="9" ht="40" customHeight="1">
      <x:c r="A9" s="2" t="s">
        <x:v>371</x:v>
      </x:c>
      <x:c r="B9" s="2" t="s">
        <x:v>372</x:v>
      </x:c>
    </x:row>
    <x:row r="10" ht="40" customHeight="1">
      <x:c r="A10" s="2" t="s">
        <x:v>373</x:v>
      </x:c>
      <x:c r="B10" s="2" t="s">
        <x:v>374</x:v>
      </x:c>
    </x:row>
    <x:row r="11" ht="40" customHeight="1">
      <x:c r="A11" s="2" t="s">
        <x:v>375</x:v>
      </x:c>
      <x:c r="B11" s="2" t="s">
        <x:v>376</x:v>
      </x:c>
    </x:row>
    <x:row r="12" ht="40" customHeight="1">
      <x:c r="A12" s="2" t="s">
        <x:v>77</x:v>
      </x:c>
      <x:c r="B12" s="2" t="s">
        <x:v>377</x:v>
      </x:c>
    </x:row>
    <x:row r="13" ht="40" customHeight="1">
      <x:c r="A13" s="2" t="s">
        <x:v>378</x:v>
      </x:c>
      <x:c r="B13" s="2" t="s">
        <x:v>379</x:v>
      </x:c>
    </x:row>
    <x:row r="14" ht="40" customHeight="1">
      <x:c r="A14" s="2" t="s">
        <x:v>42</x:v>
      </x:c>
      <x:c r="B14" s="2" t="s">
        <x:v>380</x:v>
      </x:c>
    </x:row>
    <x:row r="15" ht="40" customHeight="1">
      <x:c r="A15" t="str">
        <x:v>Certificación biomédica</x:v>
      </x:c>
      <x:c r="B15" t="str">
        <x:v>CERTIFICACIÓN EB CAIMI CON REPORTES.pdf; 23/10/2026</x:v>
      </x:c>
    </x:row>
    <x:row r="16" ht="40" customHeight="1">
      <x:c r="A16" t="str">
        <x:v>Matriz de trazabilidad actualizada</x:v>
      </x:c>
      <x:c r="B16" s="9" t="str">
        <x:v>Matriz_Trazabilidad_y_Cumplimiento_CAIMI.xlsx</x:v>
      </x:c>
    </x:row>
    <x:row r="17" ht="40" customHeight="1">
      <x:c r="A17" t="str">
        <x:v>Base epidemiológica</x:v>
      </x:c>
      <x:c r="B17" t="str">
        <x:v>rips-v22-data.js, aplicativo aprobado; alcance principal/egreso</x:v>
      </x:c>
    </x:row>
    <x:row r="18" ht="40" customHeight="1">
      <x:c r="A18" t="str">
        <x:v>Actualización normativa</x:v>
      </x:c>
      <x:c r="B18" t="str">
        <x:v>Fuentes oficiales enlazadas en 27_Marco_normativo</x:v>
      </x:c>
    </x:row>
  </x:sheetData>
  <x:mergeCells>
    <x:mergeCell ref="A2:H2"/>
    <x:mergeCell ref="A1:H1"/>
  </x:mergeCells>
  <x:pageMargins left="0.7" right="0.7" top="0.75" bottom="0.75" header="0.3" footer="0.3"/>
  <x:tableParts count="1">
    <x:tablePart xmlns:r="http://schemas.openxmlformats.org/officeDocument/2006/relationships" r:id="Rd33d194200ea4d63"/>
  </x:tableParts>
</x:worksheet>
</file>

<file path=xl/worksheets/sheet29.xml><?xml version="1.0" encoding="utf-8"?>
<x:worksheet xmlns:x="http://schemas.openxmlformats.org/spreadsheetml/2006/main">
  <x:sheetFormatPr baseColWidth="10" defaultColWidth="9" defaultRowHeight="14"/>
  <x:cols>
    <x:col min="1" max="1" width="42" hidden="0" customWidth="1"/>
    <x:col min="2" max="13" width="12" customWidth="1"/>
    <x:col min="14" max="14" width="19" hidden="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34" customHeight="1">
      <x:c r="A4" s="117" t="s">
        <x:v>381</x:v>
      </x:c>
      <x:c r="B4" s="117" t="s">
        <x:v>136</x:v>
      </x:c>
      <x:c r="C4" s="117" t="s">
        <x:v>137</x:v>
      </x:c>
      <x:c r="D4" s="117" t="s">
        <x:v>138</x:v>
      </x:c>
      <x:c r="E4" s="117" t="s">
        <x:v>139</x:v>
      </x:c>
      <x:c r="F4" s="117" t="s">
        <x:v>140</x:v>
      </x:c>
      <x:c r="G4" s="117" t="s">
        <x:v>141</x:v>
      </x:c>
      <x:c r="H4" s="117" t="s">
        <x:v>142</x:v>
      </x:c>
      <x:c r="I4" s="117" t="s">
        <x:v>143</x:v>
      </x:c>
      <x:c r="J4" s="117" t="s">
        <x:v>144</x:v>
      </x:c>
      <x:c r="K4" s="117" t="s">
        <x:v>145</x:v>
      </x:c>
      <x:c r="L4" s="117" t="s">
        <x:v>146</x:v>
      </x:c>
      <x:c r="M4" s="117" t="s">
        <x:v>147</x:v>
      </x:c>
      <x:c r="N4" s="57" t="str">
        <x:v>Total grupo</x:v>
      </x:c>
    </x:row>
    <x:row r="5" ht="32" customHeight="1">
      <x:c r="A5" s="82" t="s">
        <x:v>382</x:v>
      </x:c>
      <x:c r="B5" s="90" t="n">
        <x:v>4559</x:v>
      </x:c>
      <x:c r="C5" s="90" t="n">
        <x:v>4837</x:v>
      </x:c>
      <x:c r="D5" s="90" t="n">
        <x:v>5595</x:v>
      </x:c>
      <x:c r="E5" s="90" t="n">
        <x:v>5424</x:v>
      </x:c>
      <x:c r="F5" s="90" t="n">
        <x:v>6059</x:v>
      </x:c>
      <x:c r="G5" s="90" t="n">
        <x:v>5333</x:v>
      </x:c>
      <x:c r="H5" s="90" t="n">
        <x:v>4304</x:v>
      </x:c>
      <x:c r="I5" s="90" t="n">
        <x:v>2922</x:v>
      </x:c>
      <x:c r="J5" s="90" t="n">
        <x:v>3009</x:v>
      </x:c>
      <x:c r="K5" s="90" t="n">
        <x:v>3513</x:v>
      </x:c>
      <x:c r="L5" s="90" t="n">
        <x:v>3171</x:v>
      </x:c>
      <x:c r="M5" s="90" t="n">
        <x:v>3288</x:v>
      </x:c>
      <x:c r="N5" s="118" t="n">
        <x:f>SUM(B5:M5)</x:f>
        <x:v>52014</x:v>
      </x:c>
    </x:row>
    <x:row r="6" ht="32" customHeight="1">
      <x:c r="A6" s="82" t="s">
        <x:v>133</x:v>
      </x:c>
      <x:c r="B6" s="90" t="n">
        <x:v>475</x:v>
      </x:c>
      <x:c r="C6" s="90" t="n">
        <x:v>462</x:v>
      </x:c>
      <x:c r="D6" s="90" t="n">
        <x:v>614</x:v>
      </x:c>
      <x:c r="E6" s="90" t="n">
        <x:v>514</x:v>
      </x:c>
      <x:c r="F6" s="90" t="n">
        <x:v>566</x:v>
      </x:c>
      <x:c r="G6" s="90" t="n">
        <x:v>386</x:v>
      </x:c>
      <x:c r="H6" s="90" t="n">
        <x:v>328</x:v>
      </x:c>
      <x:c r="I6" s="90" t="n">
        <x:v>255</x:v>
      </x:c>
      <x:c r="J6" s="90" t="n">
        <x:v>216</x:v>
      </x:c>
      <x:c r="K6" s="90" t="n">
        <x:v>184</x:v>
      </x:c>
      <x:c r="L6" s="90" t="n">
        <x:v>212</x:v>
      </x:c>
      <x:c r="M6" s="90" t="n">
        <x:v>244</x:v>
      </x:c>
      <x:c r="N6" s="118" t="n">
        <x:f>SUM(B6:M6)</x:f>
        <x:v>4456</x:v>
      </x:c>
    </x:row>
    <x:row r="7" ht="32" customHeight="1">
      <x:c r="A7" s="82" t="s">
        <x:v>47</x:v>
      </x:c>
      <x:c r="B7" s="90" t="n">
        <x:v>14001</x:v>
      </x:c>
      <x:c r="C7" s="90" t="n">
        <x:v>12826</x:v>
      </x:c>
      <x:c r="D7" s="90" t="n">
        <x:v>14692</x:v>
      </x:c>
      <x:c r="E7" s="90" t="n">
        <x:v>15301</x:v>
      </x:c>
      <x:c r="F7" s="90" t="n">
        <x:v>14992</x:v>
      </x:c>
      <x:c r="G7" s="90" t="n">
        <x:v>14333</x:v>
      </x:c>
      <x:c r="H7" s="90" t="n">
        <x:v>8738</x:v>
      </x:c>
      <x:c r="I7" s="90" t="n">
        <x:v>7328</x:v>
      </x:c>
      <x:c r="J7" s="90" t="n">
        <x:v>6856</x:v>
      </x:c>
      <x:c r="K7" s="90" t="n">
        <x:v>8159</x:v>
      </x:c>
      <x:c r="L7" s="90" t="n">
        <x:v>7506</x:v>
      </x:c>
      <x:c r="M7" s="90" t="n">
        <x:v>8024</x:v>
      </x:c>
      <x:c r="N7" s="118" t="n">
        <x:f>SUM(B7:M7)</x:f>
        <x:v>132756</x:v>
      </x:c>
    </x:row>
    <x:row r="8" ht="32" customHeight="1">
      <x:c r="A8" s="82" t="s">
        <x:v>44</x:v>
      </x:c>
      <x:c r="B8" s="90" t="n">
        <x:v>36923</x:v>
      </x:c>
      <x:c r="C8" s="90" t="n">
        <x:v>33227</x:v>
      </x:c>
      <x:c r="D8" s="90" t="n">
        <x:v>38148</x:v>
      </x:c>
      <x:c r="E8" s="90" t="n">
        <x:v>35609</x:v>
      </x:c>
      <x:c r="F8" s="90" t="n">
        <x:v>39991</x:v>
      </x:c>
      <x:c r="G8" s="90" t="n">
        <x:v>35673</x:v>
      </x:c>
      <x:c r="H8" s="90" t="n">
        <x:v>23417</x:v>
      </x:c>
      <x:c r="I8" s="90" t="n">
        <x:v>18677</x:v>
      </x:c>
      <x:c r="J8" s="90" t="n">
        <x:v>33000</x:v>
      </x:c>
      <x:c r="K8" s="90" t="n">
        <x:v>26927</x:v>
      </x:c>
      <x:c r="L8" s="90" t="n">
        <x:v>21119</x:v>
      </x:c>
      <x:c r="M8" s="90" t="n">
        <x:v>25769</x:v>
      </x:c>
      <x:c r="N8" s="118" t="n">
        <x:f>SUM(B8:M8)</x:f>
        <x:v>368480</x:v>
      </x:c>
    </x:row>
    <x:row r="9" ht="32" customHeight="1">
      <x:c r="A9" s="82" t="s">
        <x:v>61</x:v>
      </x:c>
      <x:c r="B9" s="90" t="n">
        <x:v>423</x:v>
      </x:c>
      <x:c r="C9" s="90" t="n">
        <x:v>346</x:v>
      </x:c>
      <x:c r="D9" s="90" t="n">
        <x:v>378</x:v>
      </x:c>
      <x:c r="E9" s="90" t="n">
        <x:v>316</x:v>
      </x:c>
      <x:c r="F9" s="90" t="n">
        <x:v>333</x:v>
      </x:c>
      <x:c r="G9" s="90" t="n">
        <x:v>340</x:v>
      </x:c>
      <x:c r="H9" s="90" t="n">
        <x:v>254</x:v>
      </x:c>
      <x:c r="I9" s="90" t="n">
        <x:v>222</x:v>
      </x:c>
      <x:c r="J9" s="90" t="n">
        <x:v>279</x:v>
      </x:c>
      <x:c r="K9" s="90" t="n">
        <x:v>230</x:v>
      </x:c>
      <x:c r="L9" s="90" t="n">
        <x:v>207</x:v>
      </x:c>
      <x:c r="M9" s="90" t="n">
        <x:v>299</x:v>
      </x:c>
      <x:c r="N9" s="118" t="n">
        <x:f>SUM(B9:M9)</x:f>
        <x:v>3627</x:v>
      </x:c>
    </x:row>
    <x:row r="10" ht="32" customHeight="1">
      <x:c r="A10" s="82" t="s">
        <x:v>131</x:v>
      </x:c>
      <x:c r="B10" s="90" t="n">
        <x:v>1052</x:v>
      </x:c>
      <x:c r="C10" s="90" t="n">
        <x:v>1088</x:v>
      </x:c>
      <x:c r="D10" s="90" t="n">
        <x:v>1158</x:v>
      </x:c>
      <x:c r="E10" s="90" t="n">
        <x:v>1196</x:v>
      </x:c>
      <x:c r="F10" s="90" t="n">
        <x:v>1293</x:v>
      </x:c>
      <x:c r="G10" s="90" t="n">
        <x:v>906</x:v>
      </x:c>
      <x:c r="H10" s="90" t="n">
        <x:v>57</x:v>
      </x:c>
      <x:c r="I10" s="90" t="n">
        <x:v>64</x:v>
      </x:c>
      <x:c r="J10" s="90" t="n">
        <x:v>44</x:v>
      </x:c>
      <x:c r="K10" s="90" t="n">
        <x:v>705</x:v>
      </x:c>
      <x:c r="L10" s="90" t="n">
        <x:v>1262</x:v>
      </x:c>
      <x:c r="M10" s="90" t="n">
        <x:v>952</x:v>
      </x:c>
      <x:c r="N10" s="118" t="n">
        <x:f>SUM(B10:M10)</x:f>
        <x:v>9777</x:v>
      </x:c>
    </x:row>
    <x:row r="11" ht="32" customHeight="1">
      <x:c r="A11" s="82" t="s">
        <x:v>55</x:v>
      </x:c>
      <x:c r="B11" s="90" t="n">
        <x:v>2867</x:v>
      </x:c>
      <x:c r="C11" s="90" t="n">
        <x:v>3059</x:v>
      </x:c>
      <x:c r="D11" s="90" t="n">
        <x:v>2650</x:v>
      </x:c>
      <x:c r="E11" s="90" t="n">
        <x:v>2954</x:v>
      </x:c>
      <x:c r="F11" s="90" t="n">
        <x:v>3226</x:v>
      </x:c>
      <x:c r="G11" s="90" t="n">
        <x:v>2573</x:v>
      </x:c>
      <x:c r="H11" s="90" t="n">
        <x:v>2185</x:v>
      </x:c>
      <x:c r="I11" s="90" t="n">
        <x:v>1952</x:v>
      </x:c>
      <x:c r="J11" s="90" t="n">
        <x:v>2092</x:v>
      </x:c>
      <x:c r="K11" s="90" t="n">
        <x:v>2357</x:v>
      </x:c>
      <x:c r="L11" s="90" t="n">
        <x:v>2252</x:v>
      </x:c>
      <x:c r="M11" s="90" t="n">
        <x:v>2640</x:v>
      </x:c>
      <x:c r="N11" s="118" t="n">
        <x:f>SUM(B11:M11)</x:f>
        <x:v>30807</x:v>
      </x:c>
    </x:row>
    <x:row r="12" ht="32" customHeight="1">
      <x:c r="A12" s="82" t="s">
        <x:v>50</x:v>
      </x:c>
      <x:c r="B12" s="90" t="n">
        <x:v>12161</x:v>
      </x:c>
      <x:c r="C12" s="90" t="n">
        <x:v>11712</x:v>
      </x:c>
      <x:c r="D12" s="90" t="n">
        <x:v>13321</x:v>
      </x:c>
      <x:c r="E12" s="90" t="n">
        <x:v>12879</x:v>
      </x:c>
      <x:c r="F12" s="90" t="n">
        <x:v>14733</x:v>
      </x:c>
      <x:c r="G12" s="90" t="n">
        <x:v>12705</x:v>
      </x:c>
      <x:c r="H12" s="90" t="n">
        <x:v>9554</x:v>
      </x:c>
      <x:c r="I12" s="90" t="n">
        <x:v>6935</x:v>
      </x:c>
      <x:c r="J12" s="90" t="n">
        <x:v>7453</x:v>
      </x:c>
      <x:c r="K12" s="90" t="n">
        <x:v>7089</x:v>
      </x:c>
      <x:c r="L12" s="90" t="n">
        <x:v>6722</x:v>
      </x:c>
      <x:c r="M12" s="90" t="n">
        <x:v>8327</x:v>
      </x:c>
      <x:c r="N12" s="118" t="n">
        <x:f>SUM(B12:M12)</x:f>
        <x:v>123591</x:v>
      </x:c>
    </x:row>
    <x:row r="13" ht="32" customHeight="1">
      <x:c r="A13" s="86"/>
      <x:c r="B13" s="118"/>
      <x:c r="C13" s="118"/>
      <x:c r="D13" s="118"/>
      <x:c r="E13" s="118"/>
      <x:c r="F13" s="118"/>
      <x:c r="G13" s="118"/>
      <x:c r="H13" s="118"/>
      <x:c r="I13" s="118"/>
      <x:c r="J13" s="118"/>
      <x:c r="K13" s="118"/>
      <x:c r="L13" s="118"/>
      <x:c r="M13" s="118"/>
      <x:c r="N13" s="118"/>
    </x:row>
    <x:row r="14" ht="32" customHeight="1">
      <x:c r="A14" s="119" t="str">
        <x:v>Ocho grupos seleccionados</x:v>
      </x:c>
      <x:c r="B14" s="120" t="n">
        <x:f>SUM(B5:B12)</x:f>
        <x:v>72461</x:v>
      </x:c>
      <x:c r="C14" s="120" t="n">
        <x:f>SUM(C5:C12)</x:f>
        <x:v>67557</x:v>
      </x:c>
      <x:c r="D14" s="120" t="n">
        <x:f>SUM(D5:D12)</x:f>
        <x:v>76556</x:v>
      </x:c>
      <x:c r="E14" s="120" t="n">
        <x:f>SUM(E5:E12)</x:f>
        <x:v>74193</x:v>
      </x:c>
      <x:c r="F14" s="120" t="n">
        <x:f>SUM(F5:F12)</x:f>
        <x:v>81193</x:v>
      </x:c>
      <x:c r="G14" s="120" t="n">
        <x:f>SUM(G5:G12)</x:f>
        <x:v>72249</x:v>
      </x:c>
      <x:c r="H14" s="120" t="n">
        <x:f>SUM(H5:H12)</x:f>
        <x:v>48837</x:v>
      </x:c>
      <x:c r="I14" s="120" t="n">
        <x:f>SUM(I5:I12)</x:f>
        <x:v>38355</x:v>
      </x:c>
      <x:c r="J14" s="120" t="n">
        <x:f>SUM(J5:J12)</x:f>
        <x:v>52949</x:v>
      </x:c>
      <x:c r="K14" s="120" t="n">
        <x:f>SUM(K5:K12)</x:f>
        <x:v>49164</x:v>
      </x:c>
      <x:c r="L14" s="120" t="n">
        <x:f>SUM(L5:L12)</x:f>
        <x:v>42451</x:v>
      </x:c>
      <x:c r="M14" s="120" t="n">
        <x:f>SUM(M5:M12)</x:f>
        <x:v>49543</x:v>
      </x:c>
      <x:c r="N14" s="120" t="n">
        <x:f>SUM(N5:N12)</x:f>
        <x:v>725508</x:v>
      </x:c>
    </x:row>
    <x:row r="15" ht="32" customHeight="1">
      <x:c r="A15" s="119" t="str">
        <x:v>Otros grupos (ambulancia y otros)</x:v>
      </x:c>
      <x:c r="B15" s="120" t="n">
        <x:f>72983-B14</x:f>
        <x:v>522</x:v>
      </x:c>
      <x:c r="C15" s="120" t="n">
        <x:f>68043-C14</x:f>
        <x:v>486</x:v>
      </x:c>
      <x:c r="D15" s="120" t="n">
        <x:f>77125-D14</x:f>
        <x:v>569</x:v>
      </x:c>
      <x:c r="E15" s="120" t="n">
        <x:f>74681-E14</x:f>
        <x:v>488</x:v>
      </x:c>
      <x:c r="F15" s="120" t="n">
        <x:f>81690-F14</x:f>
        <x:v>497</x:v>
      </x:c>
      <x:c r="G15" s="120" t="n">
        <x:f>72665-G14</x:f>
        <x:v>416</x:v>
      </x:c>
      <x:c r="H15" s="120" t="n">
        <x:f>49161-H14</x:f>
        <x:v>324</x:v>
      </x:c>
      <x:c r="I15" s="120" t="n">
        <x:f>38676-I14</x:f>
        <x:v>321</x:v>
      </x:c>
      <x:c r="J15" s="120" t="n">
        <x:f>53276-J14</x:f>
        <x:v>327</x:v>
      </x:c>
      <x:c r="K15" s="120" t="n">
        <x:f>49424-K14</x:f>
        <x:v>260</x:v>
      </x:c>
      <x:c r="L15" s="120" t="n">
        <x:f>42716-L14</x:f>
        <x:v>265</x:v>
      </x:c>
      <x:c r="M15" s="120" t="n">
        <x:f>49861-M14</x:f>
        <x:v>318</x:v>
      </x:c>
      <x:c r="N15" s="120" t="n">
        <x:f>SUM(B15:M15)</x:f>
        <x:v>4793</x:v>
      </x:c>
    </x:row>
    <x:row r="16" ht="32" customHeight="1">
      <x:c r="A16" s="119" t="str">
        <x:v>Base completa de producción</x:v>
      </x:c>
      <x:c r="B16" s="120" t="n">
        <x:f>SUM(B14:B15)</x:f>
        <x:v>72983</x:v>
      </x:c>
      <x:c r="C16" s="120" t="n">
        <x:f>SUM(C14:C15)</x:f>
        <x:v>68043</x:v>
      </x:c>
      <x:c r="D16" s="120" t="n">
        <x:f>SUM(D14:D15)</x:f>
        <x:v>77125</x:v>
      </x:c>
      <x:c r="E16" s="120" t="n">
        <x:f>SUM(E14:E15)</x:f>
        <x:v>74681</x:v>
      </x:c>
      <x:c r="F16" s="120" t="n">
        <x:f>SUM(F14:F15)</x:f>
        <x:v>81690</x:v>
      </x:c>
      <x:c r="G16" s="120" t="n">
        <x:f>SUM(G14:G15)</x:f>
        <x:v>72665</x:v>
      </x:c>
      <x:c r="H16" s="120" t="n">
        <x:f>SUM(H14:H15)</x:f>
        <x:v>49161</x:v>
      </x:c>
      <x:c r="I16" s="120" t="n">
        <x:f>SUM(I14:I15)</x:f>
        <x:v>38676</x:v>
      </x:c>
      <x:c r="J16" s="120" t="n">
        <x:f>SUM(J14:J15)</x:f>
        <x:v>53276</x:v>
      </x:c>
      <x:c r="K16" s="120" t="n">
        <x:f>SUM(K14:K15)</x:f>
        <x:v>49424</x:v>
      </x:c>
      <x:c r="L16" s="120" t="n">
        <x:f>SUM(L14:L15)</x:f>
        <x:v>42716</x:v>
      </x:c>
      <x:c r="M16" s="120" t="n">
        <x:f>SUM(M14:M15)</x:f>
        <x:v>49861</x:v>
      </x:c>
      <x:c r="N16" s="120" t="n">
        <x:f>SUM(N14:N15)</x:f>
        <x:v>730301</x:v>
      </x:c>
    </x:row>
    <x:row r="19" ht="26" customHeight="1">
      <x:c r="A19" s="64" t="str">
        <x:v>Meses agregados de varias vigencias. Ocho grupos: 725.508 registros; ambulancia y otros: 4.793; base completa: 730.301. Se corrigen cifras heredadas mediante ITEN3, hoja Tabla, filas 10-21. Los cuadros de costos y los archivos fuente permanecen intactos.</x:v>
      </x:c>
      <x:c r="B19" s="64"/>
      <x:c r="C19" s="64"/>
      <x:c r="D19" s="64"/>
      <x:c r="E19" s="64"/>
      <x:c r="F19" s="64"/>
      <x:c r="G19" s="64"/>
      <x:c r="H19" s="64"/>
      <x:c r="I19" s="64"/>
      <x:c r="J19" s="64"/>
      <x:c r="K19" s="64"/>
      <x:c r="L19" s="64"/>
      <x:c r="M19" s="64"/>
      <x:c r="N19" s="64"/>
    </x:row>
    <x:row r="20" ht="26" customHeight="1">
      <x:c r="A20" s="64"/>
      <x:c r="B20" s="64"/>
      <x:c r="C20" s="64"/>
      <x:c r="D20" s="64"/>
      <x:c r="E20" s="64"/>
      <x:c r="F20" s="64"/>
      <x:c r="G20" s="64"/>
      <x:c r="H20" s="64"/>
      <x:c r="I20" s="64"/>
      <x:c r="J20" s="64"/>
      <x:c r="K20" s="64"/>
      <x:c r="L20" s="64"/>
      <x:c r="M20" s="64"/>
      <x:c r="N20" s="64"/>
    </x:row>
    <x:row r="21" ht="26" customHeight="1">
      <x:c r="A21" s="64"/>
      <x:c r="B21" s="64"/>
      <x:c r="C21" s="64"/>
      <x:c r="D21" s="64"/>
      <x:c r="E21" s="64"/>
      <x:c r="F21" s="64"/>
      <x:c r="G21" s="64"/>
      <x:c r="H21" s="64"/>
      <x:c r="I21" s="64"/>
      <x:c r="J21" s="64"/>
      <x:c r="K21" s="64"/>
      <x:c r="L21" s="64"/>
      <x:c r="M21" s="64"/>
      <x:c r="N21" s="64"/>
    </x:row>
  </x:sheetData>
  <x:mergeCells>
    <x:mergeCell ref="A2:H2"/>
    <x:mergeCell ref="A1:H1"/>
    <x:mergeCell ref="A19:N21"/>
  </x:mergeCells>
  <x:pageMargins left="0.7" right="0.7" top="0.75" bottom="0.75" header="0.3" footer="0.3"/>
  <x:drawing xmlns:r="http://schemas.openxmlformats.org/officeDocument/2006/relationships" r:id="Rcd7c24ad633c4bf0"/>
  <x:tableParts count="1">
    <x:tablePart xmlns:r="http://schemas.openxmlformats.org/officeDocument/2006/relationships" r:id="Rdfffd3198736476d"/>
  </x:tableParts>
</x:worksheet>
</file>

<file path=xl/worksheets/sheet30.xml><?xml version="1.0" encoding="utf-8"?>
<x:worksheet xmlns:x="http://schemas.openxmlformats.org/spreadsheetml/2006/main">
  <x:sheetFormatPr baseColWidth="10" defaultColWidth="9" defaultRowHeight="14"/>
  <x:cols>
    <x:col min="1" max="1" width="34" customWidth="1"/>
    <x:col min="2" max="2" width="28" customWidth="1"/>
    <x:col min="3" max="3" width="34" customWidth="1"/>
    <x:col min="4" max="4" width="20" customWidth="1"/>
  </x:cols>
  <x:sheetData>
    <x:row r="1" ht="18.649999618530273" customHeight="1">
      <x:c r="A1" s="27" t="s">
        <x:v>0</x:v>
      </x:c>
      <x:c r="B1" s="24"/>
      <x:c r="C1" s="24"/>
      <x:c r="D1" s="24"/>
      <x:c r="E1" s="24"/>
      <x:c r="F1" s="24"/>
      <x:c r="G1" s="24"/>
      <x:c r="H1" s="24"/>
    </x:row>
    <x:row r="2" ht="14.649999618530273" customHeight="1">
      <x:c r="A2" s="26" t="s">
        <x:v>1</x:v>
      </x:c>
      <x:c r="B2" s="24"/>
      <x:c r="C2" s="24"/>
      <x:c r="D2" s="24"/>
      <x:c r="E2" s="24"/>
      <x:c r="F2" s="24"/>
      <x:c r="G2" s="24"/>
      <x:c r="H2" s="24"/>
    </x:row>
    <x:row r="4" ht="10" customHeight="1">
      <x:c r="A4" s="1" t="s">
        <x:v>383</x:v>
      </x:c>
      <x:c r="B4" s="1" t="s">
        <x:v>26</x:v>
      </x:c>
      <x:c r="C4" s="1" t="s">
        <x:v>384</x:v>
      </x:c>
      <x:c r="D4" s="1" t="s">
        <x:v>16</x:v>
      </x:c>
    </x:row>
    <x:row r="5" ht="40" customHeight="1">
      <x:c r="A5" s="2" t="str">
        <x:v>Reportados por periodo</x:v>
      </x:c>
      <x:c r="B5" s="2" t="s">
        <x:v>385</x:v>
      </x:c>
      <x:c r="C5" s="2" t="str">
        <x:v>Informe PDF, presentación PDF y Excel</x:v>
      </x:c>
      <x:c r="D5" s="2" t="str">
        <x:v>97.583; no únicos globales</x:v>
      </x:c>
    </x:row>
    <x:row r="6" ht="40" customHeight="1">
      <x:c r="A6" s="2" t="str">
        <x:v>Registros de producción</x:v>
      </x:c>
      <x:c r="B6" s="2" t="s">
        <x:v>386</x:v>
      </x:c>
      <x:c r="C6" s="2" t="str">
        <x:v>Informe PDF, presentación PDF y Excel</x:v>
      </x:c>
      <x:c r="D6" s="2" t="s">
        <x:v>108</x:v>
      </x:c>
    </x:row>
    <x:row r="7" ht="40" customHeight="1">
      <x:c r="A7" s="2" t="str">
        <x:v>Registros de inventario</x:v>
      </x:c>
      <x:c r="B7" s="2" t="n">
        <x:v>194</x:v>
      </x:c>
      <x:c r="C7" s="2" t="str">
        <x:v>Informe PDF, presentación PDF y Excel</x:v>
      </x:c>
      <x:c r="D7" s="2" t="str">
        <x:v>194 filas cotejadas con fuente</x:v>
      </x:c>
    </x:row>
    <x:row r="8" ht="40" customHeight="1">
      <x:c r="A8" s="2" t="s">
        <x:v>35</x:v>
      </x:c>
      <x:c r="B8" s="2" t="s">
        <x:v>387</x:v>
      </x:c>
      <x:c r="C8" s="2" t="str">
        <x:v>Informe PDF, presentación PDF y Excel</x:v>
      </x:c>
      <x:c r="D8" s="2" t="s">
        <x:v>108</x:v>
      </x:c>
    </x:row>
    <x:row r="9" ht="40" customHeight="1">
      <x:c r="A9" s="2" t="s">
        <x:v>32</x:v>
      </x:c>
      <x:c r="B9" s="2" t="s">
        <x:v>388</x:v>
      </x:c>
      <x:c r="C9" s="2" t="str">
        <x:v>Informe PDF, presentación PDF y Excel</x:v>
      </x:c>
      <x:c r="D9" s="2" t="s">
        <x:v>389</x:v>
      </x:c>
    </x:row>
    <x:row r="10" ht="40" customHeight="1">
      <x:c r="A10" s="2" t="str">
        <x:v>Recomendación estratégica</x:v>
      </x:c>
      <x:c r="B10" s="2" t="s">
        <x:v>31</x:v>
      </x:c>
      <x:c r="C10" s="2" t="str">
        <x:v>Informe PDF, presentación PDF y Excel</x:v>
      </x:c>
      <x:c r="D10" s="2" t="str">
        <x:v>Condicionada; distinta del líder aritmético</x:v>
      </x:c>
    </x:row>
    <x:row r="11" ht="40" customHeight="1">
      <x:c r="A11" s="2" t="s">
        <x:v>390</x:v>
      </x:c>
      <x:c r="B11" s="67" t="n">
        <x:f>'20_Matriz_escenarios'!J5</x:f>
        <x:v>3.8874999999999997</x:v>
      </x:c>
      <x:c r="C11" s="2" t="str">
        <x:v>Informe PDF, presentación PDF y Excel</x:v>
      </x:c>
      <x:c r="D11" s="2" t="str">
        <x:v>Pesos uniformes 12,5%</x:v>
      </x:c>
    </x:row>
    <x:row r="12" ht="40" customHeight="1">
      <x:c r="A12" s="2" t="s">
        <x:v>391</x:v>
      </x:c>
      <x:c r="B12" s="67" t="n">
        <x:f>'20_Matriz_escenarios'!J6</x:f>
        <x:v>3.8624999999999994</x:v>
      </x:c>
      <x:c r="C12" s="2" t="str">
        <x:v>Informe PDF, presentación PDF y Excel</x:v>
      </x:c>
      <x:c r="D12" s="2" t="str">
        <x:v>Pesos uniformes 12,5%</x:v>
      </x:c>
    </x:row>
    <x:row r="13" ht="40" customHeight="1">
      <x:c r="A13" s="2" t="s">
        <x:v>392</x:v>
      </x:c>
      <x:c r="B13" s="67" t="n">
        <x:f>'20_Matriz_escenarios'!J7</x:f>
        <x:v>2.4999999999999996</x:v>
      </x:c>
      <x:c r="C13" s="2" t="str">
        <x:v>Informe PDF, presentación PDF y Excel</x:v>
      </x:c>
      <x:c r="D13" s="2" t="str">
        <x:v>Pesos uniformes 12,5%</x:v>
      </x:c>
    </x:row>
    <x:row r="14" ht="40" customHeight="1">
      <x:c r="A14" t="str">
        <x:v>Mayor puntaje uniforme</x:v>
      </x:c>
      <x:c r="B14" t="str">
        <x:v>Continuidad optimizada</x:v>
      </x:c>
      <x:c r="C14" t="str">
        <x:v>Informe PDF, presentación PDF, Excel y web</x:v>
      </x:c>
      <x:c r="D14" t="str">
        <x:v>Supuesto técnico explícito</x:v>
      </x:c>
    </x:row>
    <x:row r="15" ht="40" customHeight="1">
      <x:c r="A15" t="str">
        <x:v>Registros inicialmente no ubicados</x:v>
      </x:c>
      <x:c r="B15" t="n">
        <x:v>15</x:v>
      </x:c>
      <x:c r="C15" t="str">
        <x:v>Inventario y conciliación</x:v>
      </x:c>
      <x:c r="D15" t="str">
        <x:v>15 filas conservadas</x:v>
      </x:c>
    </x:row>
    <x:row r="16" ht="40" customHeight="1">
      <x:c r="A16" t="str">
        <x:v>Reportes individuales</x:v>
      </x:c>
      <x:c r="B16" s="9" t="n">
        <x:v>14</x:v>
      </x:c>
      <x:c r="C16" t="str">
        <x:v>Certificación pp. 3-16</x:v>
      </x:c>
      <x:c r="D16" t="str">
        <x:v>12 claves + 2 asociaciones descriptivas</x:v>
      </x:c>
    </x:row>
    <x:row r="17" ht="40" customHeight="1">
      <x:c r="A17" t="str">
        <x:v>Sin reporte individual</x:v>
      </x:c>
      <x:c r="B17" t="n">
        <x:v>1</x:v>
      </x:c>
      <x:c r="C17" t="str">
        <x:v>Placa 8631</x:v>
      </x:c>
      <x:c r="D17" t="str">
        <x:v>No se infiere pérdida</x:v>
      </x:c>
    </x:row>
    <x:row r="18" ht="40" customHeight="1">
      <x:c r="A18" t="str">
        <x:v>Usuarios únicos del universo RIPS</x:v>
      </x:c>
      <x:c r="B18" t="n">
        <x:v>68318</x:v>
      </x:c>
      <x:c r="C18" t="str">
        <x:v>Aplicativo RIPS</x:v>
      </x:c>
      <x:c r="D18" t="str">
        <x:v>Diferente de reportados por periodo</x:v>
      </x:c>
    </x:row>
    <x:row r="19" ht="40" customHeight="1">
      <x:c r="A19" t="str">
        <x:v>Registros principales/egreso RIPS</x:v>
      </x:c>
      <x:c r="B19" t="n">
        <x:v>371987</x:v>
      </x:c>
      <x:c r="C19" t="str">
        <x:v>Aplicativo RIPS</x:v>
      </x:c>
      <x:c r="D19" t="str">
        <x:v>Mismo alcance que hojas 10/11</x:v>
      </x:c>
    </x:row>
  </x:sheetData>
  <x:mergeCells>
    <x:mergeCell ref="A2:H2"/>
    <x:mergeCell ref="A1:H1"/>
  </x:mergeCells>
  <x:pageMargins left="0.7" right="0.7" top="0.75" bottom="0.75" header="0.3" footer="0.3"/>
  <x:tableParts count="1">
    <x:tablePart xmlns:r="http://schemas.openxmlformats.org/officeDocument/2006/relationships" r:id="R2efdab18c89e46c2"/>
  </x:tableParts>
</x:worksheet>
</file>

<file path=xl/worksheets/sheet31.xml><?xml version="1.0" encoding="utf-8"?>
<x:worksheet xmlns:x="http://schemas.openxmlformats.org/spreadsheetml/2006/main">
  <x:sheetFormatPr baseColWidth="10" defaultColWidth="8.6640625" defaultRowHeight="14"/>
  <x:cols>
    <x:col min="1" max="1" width="32" customWidth="1"/>
    <x:col min="2" max="2" width="17" customWidth="1"/>
    <x:col min="3" max="3" width="16" customWidth="1"/>
    <x:col min="4" max="4" width="15" customWidth="1"/>
    <x:col min="5" max="5" width="21" customWidth="1"/>
    <x:col min="6" max="6" width="28" hidden="0" customWidth="1"/>
  </x:cols>
  <x:sheetData>
    <x:row r="1" ht="18">
      <x:c r="A1" s="14" t="s">
        <x:v>393</x:v>
      </x:c>
    </x:row>
    <x:row r="2" ht="14.5">
      <x:c r="A2" s="15" t="s">
        <x:v>394</x:v>
      </x:c>
    </x:row>
    <x:row r="4">
      <x:c r="A4" s="12" t="s">
        <x:v>37</x:v>
      </x:c>
      <x:c r="B4" s="12" t="s">
        <x:v>395</x:v>
      </x:c>
      <x:c r="C4" s="12" t="s">
        <x:v>149</x:v>
      </x:c>
      <x:c r="D4" s="12" t="s">
        <x:v>166</x:v>
      </x:c>
      <x:c r="E4" s="12" t="s">
        <x:v>396</x:v>
      </x:c>
      <x:c r="F4" s="12" t="s">
        <x:v>397</x:v>
      </x:c>
    </x:row>
    <x:row r="5" ht="30" customHeight="1">
      <x:c r="A5" s="11" t="s">
        <x:v>150</x:v>
      </x:c>
      <x:c r="B5" s="11">
        <x:v>5</x:v>
      </x:c>
      <x:c r="C5" s="94">
        <x:v>280816103.81999999</x:v>
      </x:c>
      <x:c r="D5" s="94">
        <x:v>5274629226</x:v>
      </x:c>
      <x:c r="E5" s="94" t="n">
        <x:f>D5-C5</x:f>
        <x:v>4993813122.18</x:v>
      </x:c>
      <x:c r="F5" s="11" t="str">
        <x:f>IF(AND(ABS(C5-SUM('13_Costos_por_centro'!N28:N32))&lt;=0.01,ABS(D5-SUM('13_Costos_por_centro'!O28:O32))&lt;=0.01),"Coincide con detalle","Revisar diferencia")</x:f>
        <x:v>Coincide con detalle</x:v>
      </x:c>
    </x:row>
    <x:row r="6" ht="30" customHeight="1">
      <x:c r="A6" s="13" t="s">
        <x:v>46</x:v>
      </x:c>
      <x:c r="B6" s="13">
        <x:v>6</x:v>
      </x:c>
      <x:c r="C6" s="95">
        <x:v>10656217666.73</x:v>
      </x:c>
      <x:c r="D6" s="95">
        <x:v>10967013472</x:v>
      </x:c>
      <x:c r="E6" s="95" t="n">
        <x:f>D6-C6</x:f>
        <x:v>310795805.27000046</x:v>
      </x:c>
      <x:c r="F6" s="13" t="str">
        <x:f>IF(AND(ABS(C6-SUM('13_Costos_por_centro'!N22:N27))&lt;=0.01,ABS(D6-SUM('13_Costos_por_centro'!O22:O27))&lt;=0.01),"Coincide con detalle","Revisar diferencia")</x:f>
        <x:v>Coincide con detalle</x:v>
      </x:c>
    </x:row>
    <x:row r="7" ht="30" customHeight="1">
      <x:c r="A7" s="11" t="s">
        <x:v>49</x:v>
      </x:c>
      <x:c r="B7" s="11">
        <x:v>8</x:v>
      </x:c>
      <x:c r="C7" s="94">
        <x:v>9828115932.4699993</x:v>
      </x:c>
      <x:c r="D7" s="94">
        <x:v>9535465884</x:v>
      </x:c>
      <x:c r="E7" s="94" t="n">
        <x:f>D7-C7</x:f>
        <x:v>-292650048.4699993</x:v>
      </x:c>
      <x:c r="F7" s="11" t="str">
        <x:f>IF(AND(ABS(C7-SUM('13_Costos_por_centro'!N14:N21))&lt;=0.01,ABS(D7-SUM('13_Costos_por_centro'!O14:O21))&lt;=0.01),"Coincide con detalle","Revisar diferencia")</x:f>
        <x:v>Coincide con detalle</x:v>
      </x:c>
    </x:row>
    <x:row r="8" ht="30" customHeight="1">
      <x:c r="A8" s="13" t="s">
        <x:v>151</x:v>
      </x:c>
      <x:c r="B8" s="13">
        <x:v>9</x:v>
      </x:c>
      <x:c r="C8" s="95">
        <x:v>5250296535.4099998</x:v>
      </x:c>
      <x:c r="D8" s="95">
        <x:v>4730202897</x:v>
      </x:c>
      <x:c r="E8" s="95" t="n">
        <x:f>D8-C8</x:f>
        <x:v>-520093638.40999985</x:v>
      </x:c>
      <x:c r="F8" s="13" t="str">
        <x:f>IF(AND(ABS(C8-SUM('13_Costos_por_centro'!N5:N13))&lt;=0.01,ABS(D8-SUM('13_Costos_por_centro'!O5:O13))&lt;=0.01),"Coincide con detalle","Revisar diferencia")</x:f>
        <x:v>Coincide con detalle</x:v>
      </x:c>
    </x:row>
    <x:row r="11" ht="30" customHeight="1">
      <x:c r="A11" s="64" t="str">
        <x:v>Resultado agregado = facturación informada menos costo total informado. En el primer semestre 2026 es -$520.093.638,41 e incluye vigilancia epidemiológica. No equivale a utilidad neta ni flujo de caja. El control coteja subtotales con el detalle, sin resolver por sí mismo las discrepancias internas de la fuente.</x:v>
      </x:c>
      <x:c r="B11" s="64"/>
      <x:c r="C11" s="64"/>
      <x:c r="D11" s="64"/>
      <x:c r="E11" s="64"/>
      <x:c r="F11" s="64"/>
    </x:row>
    <x:row r="12" ht="30" customHeight="1">
      <x:c r="A12" s="64"/>
      <x:c r="B12" s="64"/>
      <x:c r="C12" s="64"/>
      <x:c r="D12" s="64"/>
      <x:c r="E12" s="64"/>
      <x:c r="F12" s="64"/>
    </x:row>
    <x:row r="13" ht="30" customHeight="1">
      <x:c r="A13" s="64"/>
      <x:c r="B13" s="64"/>
      <x:c r="C13" s="64"/>
      <x:c r="D13" s="64"/>
      <x:c r="E13" s="64"/>
      <x:c r="F13" s="64"/>
    </x:row>
  </x:sheetData>
  <x:mergeCells>
    <x:mergeCell ref="A11:F13"/>
  </x:mergeCells>
  <x:pageMargins left="0.7" right="0.7" top="0.75" bottom="0.75" header="0.3" footer="0.3"/>
</x:worksheet>
</file>

<file path=xl/worksheets/sheet3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8" hidden="0" customWidth="1"/>
    <x:col min="2" max="2" width="30" hidden="0" customWidth="1"/>
    <x:col min="3" max="3" width="22" hidden="0" customWidth="1"/>
    <x:col min="4" max="4" width="22" hidden="0" customWidth="1"/>
    <x:col min="5" max="5" width="24" hidden="0" customWidth="1"/>
    <x:col min="6" max="6" width="16" hidden="0" customWidth="1"/>
    <x:col min="7" max="7" width="30" hidden="0" customWidth="1"/>
    <x:col min="8" max="8" width="60" hidden="0" customWidth="1"/>
    <x:col min="9" max="9" width="12" hidden="0" customWidth="1"/>
    <x:col min="10" max="10" width="34" hidden="0" customWidth="1"/>
    <x:col min="11" max="11" width="34" hidden="0" customWidth="1"/>
    <x:col min="12" max="12" width="34" hidden="0" customWidth="1"/>
    <x:col min="13" max="13" width="26" hidden="0" customWidth="1"/>
    <x:col min="14" max="14" width="52" hidden="0" customWidth="1"/>
    <x:col min="15" max="15" width="16" hidden="0" customWidth="1"/>
    <x:col min="16" max="16" width="16" hidden="0" customWidth="1"/>
    <x:col min="17" max="17" width="16" hidden="0" customWidth="1"/>
    <x:col min="18" max="18" width="42" hidden="0" customWidth="1"/>
    <x:col min="19" max="19" width="48" hidden="0" customWidth="1"/>
    <x:col min="20" max="20" width="48" hidden="0" customWidth="1"/>
    <x:col min="21" max="21" width="28" hidden="0" customWidth="1"/>
    <x:col min="22" max="22" width="26" hidden="0" customWidth="1"/>
  </x:cols>
  <x:sheetData>
    <x:row r="1" ht="28" customHeight="1">
      <x:c r="A1" s="40" t="str">
        <x:v>Inventario biomédico y estado documental</x:v>
      </x:c>
      <x:c r="B1" s="40"/>
      <x:c r="C1" s="40"/>
      <x:c r="D1" s="40"/>
      <x:c r="E1" s="40"/>
      <x:c r="F1" s="40"/>
      <x:c r="G1" s="40"/>
      <x:c r="H1" s="40"/>
      <x:c r="I1" s="40"/>
      <x:c r="J1" s="40"/>
      <x:c r="K1" s="40"/>
      <x:c r="L1" s="40"/>
      <x:c r="M1" s="40"/>
      <x:c r="N1" s="40"/>
      <x:c r="O1" s="40"/>
      <x:c r="P1" s="40"/>
      <x:c r="Q1" s="40"/>
      <x:c r="R1" s="40"/>
      <x:c r="S1" s="40"/>
      <x:c r="T1" s="40"/>
      <x:c r="U1" s="40"/>
      <x:c r="V1" s="40"/>
    </x:row>
    <x:row r="2" ht="32" customHeight="1">
      <x:c r="A2" s="42" t="str">
        <x:v>194 registros de inventario. Certificación del 23/10/2026. Consolidación documental de fuentes con fechas distintas. No es inspección física nueva ni disponibilidad simultánea.</x:v>
      </x:c>
      <x:c r="B2" s="42"/>
      <x:c r="C2" s="42"/>
      <x:c r="D2" s="42"/>
      <x:c r="E2" s="42"/>
      <x:c r="F2" s="42"/>
      <x:c r="G2" s="42"/>
      <x:c r="H2" s="42"/>
      <x:c r="I2" s="42"/>
      <x:c r="J2" s="42"/>
      <x:c r="K2" s="42"/>
      <x:c r="L2" s="42"/>
      <x:c r="M2" s="42"/>
      <x:c r="N2" s="42"/>
      <x:c r="O2" s="42"/>
      <x:c r="P2" s="42"/>
      <x:c r="Q2" s="42"/>
      <x:c r="R2" s="42"/>
      <x:c r="S2" s="42"/>
      <x:c r="T2" s="42"/>
      <x:c r="U2" s="42"/>
      <x:c r="V2" s="42"/>
    </x:row>
    <x:row r="4" ht="34" customHeight="1">
      <x:c r="A4" s="48" t="str">
        <x:v>Ítem</x:v>
      </x:c>
      <x:c r="B4" s="48" t="str">
        <x:v>Equipo</x:v>
      </x:c>
      <x:c r="C4" s="48" t="str">
        <x:v>Marca</x:v>
      </x:c>
      <x:c r="D4" s="48" t="str">
        <x:v>Modelo</x:v>
      </x:c>
      <x:c r="E4" s="48" t="str">
        <x:v>Serie fuente</x:v>
      </x:c>
      <x:c r="F4" s="48" t="str">
        <x:v>Placa fuente</x:v>
      </x:c>
      <x:c r="G4" s="48" t="str">
        <x:v>Servicio fuente</x:v>
      </x:c>
      <x:c r="H4" s="48" t="str">
        <x:v>Observación original</x:v>
      </x:c>
      <x:c r="I4" s="48" t="str">
        <x:v>Página inventario</x:v>
      </x:c>
      <x:c r="J4" s="48" t="str">
        <x:v>Clasificación inicial</x:v>
      </x:c>
      <x:c r="K4" s="48" t="str">
        <x:v>Clasificación consolidada</x:v>
      </x:c>
      <x:c r="L4" s="48" t="str">
        <x:v>Ubicación informada</x:v>
      </x:c>
      <x:c r="M4" s="48" t="str">
        <x:v>Vinculación</x:v>
      </x:c>
      <x:c r="N4" s="48" t="str">
        <x:v>Condición técnica documentada</x:v>
      </x:c>
      <x:c r="O4" s="48" t="str">
        <x:v>Fecha reporte</x:v>
      </x:c>
      <x:c r="P4" s="48" t="str">
        <x:v>Reporte</x:v>
      </x:c>
      <x:c r="Q4" s="48" t="str">
        <x:v>Página certificación</x:v>
      </x:c>
      <x:c r="R4" s="48" t="str">
        <x:v>Identidad / asociación</x:v>
      </x:c>
      <x:c r="S4" s="48" t="str">
        <x:v>Gestión recomendada</x:v>
      </x:c>
      <x:c r="T4" s="48" t="str">
        <x:v>Alertas de gestión (pueden superponerse)</x:v>
      </x:c>
      <x:c r="U4" s="48" t="str">
        <x:v>Fuente técnica</x:v>
      </x:c>
      <x:c r="V4" s="48" t="str">
        <x:v>ID del registro</x:v>
      </x:c>
    </x:row>
    <x:row r="5" ht="42" customHeight="1">
      <x:c r="A5" s="45" t="n">
        <x:v>1</x:v>
      </x:c>
      <x:c r="B5" s="45" t="str">
        <x:v>TALLIMETRO</x:v>
      </x:c>
      <x:c r="C5" s="45" t="str">
        <x:v>SECA</x:v>
      </x:c>
      <x:c r="D5" s="50" t="str">
        <x:v>217</x:v>
      </x:c>
      <x:c r="E5" s="50" t="str">
        <x:v>N/R</x:v>
      </x:c>
      <x:c r="F5" s="50" t="str">
        <x:v>6238</x:v>
      </x:c>
      <x:c r="G5" s="45" t="str">
        <x:v>MED.FAM-CONS.1</x:v>
      </x:c>
      <x:c r="H5" s="45" t="str">
        <x:v>SE ENCONTRO EN CONS.3 3 MD.FAMILIAR, EQUIPO OPERATIVO</x:v>
      </x:c>
      <x:c r="I5" s="45" t="n">
        <x:v>1</x:v>
      </x:c>
      <x:c r="J5" s="45" t="str">
        <x:v>Operativo explícito sin incidencia pendiente consignada</x:v>
      </x:c>
      <x:c r="K5" s="45" t="str">
        <x:v>Operativo explícito sin incidencia pendiente consignada</x:v>
      </x:c>
      <x:c r="L5" s="45" t="str">
        <x:v>MED.FAM-CONS.1</x:v>
      </x:c>
      <x:c r="M5" s="45" t="str">
        <x:v>base</x:v>
      </x:c>
      <x:c r="N5" s="45" t="str">
        <x:v>SE ENCONTRO EN CONS.3 3 MD.FAMILIAR, EQUIPO OPERATIVO</x:v>
      </x:c>
      <x:c r="O5" s="49" t="str">
        <x:v>No indicada</x:v>
      </x:c>
      <x:c r="P5" s="50" t="str">
        <x:v>No aplica</x:v>
      </x:c>
      <x:c r="Q5" s="45" t="str">
        <x:v>No aplica</x:v>
      </x:c>
      <x:c r="R5" s="45" t="str"/>
      <x:c r="S5" s="45" t="str">
        <x:v>Mantener seguimiento preventivo institucional</x:v>
      </x:c>
      <x:c r="T5" s="45" t="str"/>
      <x:c r="U5" s="45" t="str">
        <x:v>S2, p. 1, ítem 1</x:v>
      </x:c>
      <x:c r="V5" s="45" t="str">
        <x:v>CAIMI-S2-001</x:v>
      </x:c>
    </x:row>
    <x:row r="6" ht="42" customHeight="1">
      <x:c r="A6" s="45" t="n">
        <x:v>2</x:v>
      </x:c>
      <x:c r="B6" s="45" t="str">
        <x:v>BASCULA DE PISO</x:v>
      </x:c>
      <x:c r="C6" s="45" t="str">
        <x:v>HEALTH O METER</x:v>
      </x:c>
      <x:c r="D6" s="50" t="str">
        <x:v>844 KL</x:v>
      </x:c>
      <x:c r="E6" s="50" t="str">
        <x:v>8440140401</x:v>
      </x:c>
      <x:c r="F6" s="50" t="str">
        <x:v>7702</x:v>
      </x:c>
      <x:c r="G6" s="45" t="str">
        <x:v>MED.FAM-CONS.3</x:v>
      </x:c>
      <x:c r="H6" s="45" t="str">
        <x:v>EQUIPO TIENE UN DESFASE MAYOR A 100 GRAMOS</x:v>
      </x:c>
      <x:c r="I6" s="45" t="n">
        <x:v>1</x:v>
      </x:c>
      <x:c r="J6" s="45" t="str">
        <x:v>Condición técnica por verificar</x:v>
      </x:c>
      <x:c r="K6" s="45" t="str">
        <x:v>Condición técnica por verificar</x:v>
      </x:c>
      <x:c r="L6" s="45" t="str">
        <x:v>MED.FAM-CONS.3</x:v>
      </x:c>
      <x:c r="M6" s="45" t="str">
        <x:v>base</x:v>
      </x:c>
      <x:c r="N6" s="45" t="str">
        <x:v>EQUIPO TIENE UN DESFASE MAYOR A 100 GRAMOS</x:v>
      </x:c>
      <x:c r="O6" s="49" t="str">
        <x:v>No indicada</x:v>
      </x:c>
      <x:c r="P6" s="50" t="str">
        <x:v>No aplica</x:v>
      </x:c>
      <x:c r="Q6" s="45" t="str">
        <x:v>No aplica</x:v>
      </x:c>
      <x:c r="R6" s="45" t="str"/>
      <x:c r="S6" s="45" t="str">
        <x:v>Gestionar observaciones originales y documentar verificación técnica posterior</x:v>
      </x:c>
      <x:c r="T6" s="45" t="str">
        <x:v>Intervención o verificación técnica</x:v>
      </x:c>
      <x:c r="U6" s="45" t="str">
        <x:v>S2, p. 1, ítem 2</x:v>
      </x:c>
      <x:c r="V6" s="45" t="str">
        <x:v>CAIMI-S2-002</x:v>
      </x:c>
    </x:row>
    <x:row r="7" ht="42" customHeight="1">
      <x:c r="A7" s="45" t="n">
        <x:v>3</x:v>
      </x:c>
      <x:c r="B7" s="45" t="str">
        <x:v>EQUIPO DE ORGANOS</x:v>
      </x:c>
      <x:c r="C7" s="45" t="str">
        <x:v>WELCH ALLYN</x:v>
      </x:c>
      <x:c r="D7" s="50" t="str">
        <x:v>777</x:v>
      </x:c>
      <x:c r="E7" s="50" t="str">
        <x:v>N/R</x:v>
      </x:c>
      <x:c r="F7" s="50" t="str">
        <x:v>3239</x:v>
      </x:c>
      <x:c r="G7" s="45" t="str">
        <x:v>MED.FAM-CONS.1</x:v>
      </x:c>
      <x:c r="H7" s="45" t="str">
        <x:v>EQUIPO PRESENTA ABLE ESPIRALADO EN MAL ESTADO</x:v>
      </x:c>
      <x:c r="I7" s="45" t="n">
        <x:v>1</x:v>
      </x:c>
      <x:c r="J7" s="45" t="str">
        <x:v>Condición técnica por verificar</x:v>
      </x:c>
      <x:c r="K7" s="45" t="str">
        <x:v>Condición técnica por verificar</x:v>
      </x:c>
      <x:c r="L7" s="45" t="str">
        <x:v>MED.FAM-CONS.1</x:v>
      </x:c>
      <x:c r="M7" s="45" t="str">
        <x:v>base</x:v>
      </x:c>
      <x:c r="N7" s="45" t="str">
        <x:v>EQUIPO PRESENTA ABLE ESPIRALADO EN MAL ESTADO</x:v>
      </x:c>
      <x:c r="O7" s="49" t="str">
        <x:v>No indicada</x:v>
      </x:c>
      <x:c r="P7" s="50" t="str">
        <x:v>No aplica</x:v>
      </x:c>
      <x:c r="Q7" s="45" t="str">
        <x:v>No aplica</x:v>
      </x:c>
      <x:c r="R7" s="45" t="str"/>
      <x:c r="S7" s="45" t="str">
        <x:v>Gestionar observaciones originales y documentar verificación técnica posterior</x:v>
      </x:c>
      <x:c r="T7" s="45" t="str">
        <x:v>Intervención o verificación técnica</x:v>
      </x:c>
      <x:c r="U7" s="45" t="str">
        <x:v>S2, p. 1, ítem 3</x:v>
      </x:c>
      <x:c r="V7" s="45" t="str">
        <x:v>CAIMI-S2-003</x:v>
      </x:c>
    </x:row>
    <x:row r="8" ht="42" customHeight="1">
      <x:c r="A8" s="45" t="n">
        <x:v>4</x:v>
      </x:c>
      <x:c r="B8" s="45" t="str">
        <x:v>TENSIOMETRO DE PARED</x:v>
      </x:c>
      <x:c r="C8" s="45" t="str">
        <x:v>WELCH ALLYN</x:v>
      </x:c>
      <x:c r="D8" s="50" t="str">
        <x:v>LIFE TIME</x:v>
      </x:c>
      <x:c r="E8" s="50" t="str">
        <x:v>140327072555</x:v>
      </x:c>
      <x:c r="F8" s="50" t="str">
        <x:v>3249</x:v>
      </x:c>
      <x:c r="G8" s="45" t="str">
        <x:v>MED.FAM-CONS.1</x:v>
      </x:c>
      <x:c r="H8" s="45" t="str">
        <x:v>EQUIPO OPERATIVO</x:v>
      </x:c>
      <x:c r="I8" s="45" t="n">
        <x:v>1</x:v>
      </x:c>
      <x:c r="J8" s="45" t="str">
        <x:v>Operativo explícito sin incidencia pendiente consignada</x:v>
      </x:c>
      <x:c r="K8" s="45" t="str">
        <x:v>Operativo explícito sin incidencia pendiente consignada</x:v>
      </x:c>
      <x:c r="L8" s="45" t="str">
        <x:v>MED.FAM-CONS.1</x:v>
      </x:c>
      <x:c r="M8" s="45" t="str">
        <x:v>base</x:v>
      </x:c>
      <x:c r="N8" s="45" t="str">
        <x:v>EQUIPO OPERATIVO</x:v>
      </x:c>
      <x:c r="O8" s="49" t="str">
        <x:v>No indicada</x:v>
      </x:c>
      <x:c r="P8" s="50" t="str">
        <x:v>No aplica</x:v>
      </x:c>
      <x:c r="Q8" s="45" t="str">
        <x:v>No aplica</x:v>
      </x:c>
      <x:c r="R8" s="45" t="str"/>
      <x:c r="S8" s="45" t="str">
        <x:v>Mantener seguimiento preventivo institucional</x:v>
      </x:c>
      <x:c r="T8" s="45" t="str"/>
      <x:c r="U8" s="45" t="str">
        <x:v>S2, p. 1, ítem 4</x:v>
      </x:c>
      <x:c r="V8" s="45" t="str">
        <x:v>CAIMI-S2-004</x:v>
      </x:c>
    </x:row>
    <x:row r="9" ht="42" customHeight="1">
      <x:c r="A9" s="45" t="n">
        <x:v>5</x:v>
      </x:c>
      <x:c r="B9" s="45" t="str">
        <x:v>FONENDOSCOPIO</x:v>
      </x:c>
      <x:c r="C9" s="45" t="str">
        <x:v>RIESTER</x:v>
      </x:c>
      <x:c r="D9" s="50" t="str">
        <x:v>DUPLEX</x:v>
      </x:c>
      <x:c r="E9" s="50" t="str">
        <x:v>N/R</x:v>
      </x:c>
      <x:c r="F9" s="50" t="str">
        <x:v>N/R</x:v>
      </x:c>
      <x:c r="G9" s="45" t="str">
        <x:v>MED.FAM-CONS.1</x:v>
      </x:c>
      <x:c r="H9" s="45" t="str">
        <x:v>EQUIPO OPERATIVO</x:v>
      </x:c>
      <x:c r="I9" s="45" t="n">
        <x:v>1</x:v>
      </x:c>
      <x:c r="J9" s="45" t="str">
        <x:v>Operativo explícito sin incidencia pendiente consignada</x:v>
      </x:c>
      <x:c r="K9" s="45" t="str">
        <x:v>Operativo explícito sin incidencia pendiente consignada</x:v>
      </x:c>
      <x:c r="L9" s="45" t="str">
        <x:v>MED.FAM-CONS.1</x:v>
      </x:c>
      <x:c r="M9" s="45" t="str">
        <x:v>base</x:v>
      </x:c>
      <x:c r="N9" s="45" t="str">
        <x:v>EQUIPO OPERATIVO</x:v>
      </x:c>
      <x:c r="O9" s="49" t="str">
        <x:v>No indicada</x:v>
      </x:c>
      <x:c r="P9" s="50" t="str">
        <x:v>No aplica</x:v>
      </x:c>
      <x:c r="Q9" s="45" t="str">
        <x:v>No aplica</x:v>
      </x:c>
      <x:c r="R9" s="45" t="str"/>
      <x:c r="S9" s="45" t="str">
        <x:v>Mantener seguimiento preventivo institucional</x:v>
      </x:c>
      <x:c r="T9" s="45" t="str"/>
      <x:c r="U9" s="45" t="str">
        <x:v>S2, p. 1, ítem 5</x:v>
      </x:c>
      <x:c r="V9" s="45" t="str">
        <x:v>CAIMI-S2-005</x:v>
      </x:c>
    </x:row>
    <x:row r="10" ht="42" customHeight="1">
      <x:c r="A10" s="45" t="n">
        <x:v>6</x:v>
      </x:c>
      <x:c r="B10" s="45" t="str">
        <x:v>TALLIMETRO</x:v>
      </x:c>
      <x:c r="C10" s="45" t="str">
        <x:v>SECA</x:v>
      </x:c>
      <x:c r="D10" s="50" t="str">
        <x:v>217</x:v>
      </x:c>
      <x:c r="E10" s="50" t="str">
        <x:v>N/R</x:v>
      </x:c>
      <x:c r="F10" s="50" t="str">
        <x:v>6239</x:v>
      </x:c>
      <x:c r="G10" s="45" t="str">
        <x:v>MED.FAM-CONS.2</x:v>
      </x:c>
      <x:c r="H10" s="45" t="str">
        <x:v>EQUIPO OPERATIVO</x:v>
      </x:c>
      <x:c r="I10" s="45" t="n">
        <x:v>1</x:v>
      </x:c>
      <x:c r="J10" s="45" t="str">
        <x:v>Operativo explícito sin incidencia pendiente consignada</x:v>
      </x:c>
      <x:c r="K10" s="45" t="str">
        <x:v>Operativo explícito sin incidencia pendiente consignada</x:v>
      </x:c>
      <x:c r="L10" s="45" t="str">
        <x:v>MED.FAM-CONS.2</x:v>
      </x:c>
      <x:c r="M10" s="45" t="str">
        <x:v>base</x:v>
      </x:c>
      <x:c r="N10" s="45" t="str">
        <x:v>EQUIPO OPERATIVO</x:v>
      </x:c>
      <x:c r="O10" s="49" t="str">
        <x:v>No indicada</x:v>
      </x:c>
      <x:c r="P10" s="50" t="str">
        <x:v>No aplica</x:v>
      </x:c>
      <x:c r="Q10" s="45" t="str">
        <x:v>No aplica</x:v>
      </x:c>
      <x:c r="R10" s="45" t="str"/>
      <x:c r="S10" s="45" t="str">
        <x:v>Mantener seguimiento preventivo institucional</x:v>
      </x:c>
      <x:c r="T10" s="45" t="str"/>
      <x:c r="U10" s="45" t="str">
        <x:v>S2, p. 1, ítem 6</x:v>
      </x:c>
      <x:c r="V10" s="45" t="str">
        <x:v>CAIMI-S2-006</x:v>
      </x:c>
    </x:row>
    <x:row r="11" ht="42" customHeight="1">
      <x:c r="A11" s="45" t="n">
        <x:v>7</x:v>
      </x:c>
      <x:c r="B11" s="45" t="str">
        <x:v>BASCULA DE PISO</x:v>
      </x:c>
      <x:c r="C11" s="45" t="str">
        <x:v>HEALTH O METER</x:v>
      </x:c>
      <x:c r="D11" s="50" t="str">
        <x:v>844 KL</x:v>
      </x:c>
      <x:c r="E11" s="50" t="str">
        <x:v>8440140732</x:v>
      </x:c>
      <x:c r="F11" s="50" t="str">
        <x:v>7701</x:v>
      </x:c>
      <x:c r="G11" s="45" t="str">
        <x:v>MED.FAM-CONS.1</x:v>
      </x:c>
      <x:c r="H11" s="45" t="str">
        <x:v>EQUIPO OPERATIVO</x:v>
      </x:c>
      <x:c r="I11" s="45" t="n">
        <x:v>1</x:v>
      </x:c>
      <x:c r="J11" s="45" t="str">
        <x:v>Operativo explícito sin incidencia pendiente consignada</x:v>
      </x:c>
      <x:c r="K11" s="45" t="str">
        <x:v>Operativo explícito sin incidencia pendiente consignada</x:v>
      </x:c>
      <x:c r="L11" s="45" t="str">
        <x:v>MED.FAM-CONS.1</x:v>
      </x:c>
      <x:c r="M11" s="45" t="str">
        <x:v>base</x:v>
      </x:c>
      <x:c r="N11" s="45" t="str">
        <x:v>EQUIPO OPERATIVO</x:v>
      </x:c>
      <x:c r="O11" s="49" t="str">
        <x:v>No indicada</x:v>
      </x:c>
      <x:c r="P11" s="50" t="str">
        <x:v>No aplica</x:v>
      </x:c>
      <x:c r="Q11" s="45" t="str">
        <x:v>No aplica</x:v>
      </x:c>
      <x:c r="R11" s="45" t="str"/>
      <x:c r="S11" s="45" t="str">
        <x:v>Mantener seguimiento preventivo institucional</x:v>
      </x:c>
      <x:c r="T11" s="45" t="str"/>
      <x:c r="U11" s="45" t="str">
        <x:v>S2, p. 1, ítem 7</x:v>
      </x:c>
      <x:c r="V11" s="45" t="str">
        <x:v>CAIMI-S2-007</x:v>
      </x:c>
    </x:row>
    <x:row r="12" ht="42" customHeight="1">
      <x:c r="A12" s="45" t="n">
        <x:v>8</x:v>
      </x:c>
      <x:c r="B12" s="45" t="str">
        <x:v>PESA BEBE</x:v>
      </x:c>
      <x:c r="C12" s="45" t="str">
        <x:v>CHORDER</x:v>
      </x:c>
      <x:c r="D12" s="50" t="str">
        <x:v>MS3500</x:v>
      </x:c>
      <x:c r="E12" s="50" t="str">
        <x:v>C22012993</x:v>
      </x:c>
      <x:c r="F12" s="50" t="str">
        <x:v>7711</x:v>
      </x:c>
      <x:c r="G12" s="45" t="str">
        <x:v>MED.FAM-CONS.3</x:v>
      </x:c>
      <x:c r="H12" s="45" t="str">
        <x:v>EQUIPO OPERATIVO</x:v>
      </x:c>
      <x:c r="I12" s="45" t="n">
        <x:v>1</x:v>
      </x:c>
      <x:c r="J12" s="45" t="str">
        <x:v>Operativo explícito sin incidencia pendiente consignada</x:v>
      </x:c>
      <x:c r="K12" s="45" t="str">
        <x:v>Operativo explícito sin incidencia pendiente consignada</x:v>
      </x:c>
      <x:c r="L12" s="45" t="str">
        <x:v>MED.FAM-CONS.3</x:v>
      </x:c>
      <x:c r="M12" s="45" t="str">
        <x:v>base</x:v>
      </x:c>
      <x:c r="N12" s="45" t="str">
        <x:v>EQUIPO OPERATIVO</x:v>
      </x:c>
      <x:c r="O12" s="49" t="str">
        <x:v>No indicada</x:v>
      </x:c>
      <x:c r="P12" s="50" t="str">
        <x:v>No aplica</x:v>
      </x:c>
      <x:c r="Q12" s="45" t="str">
        <x:v>No aplica</x:v>
      </x:c>
      <x:c r="R12" s="45" t="str"/>
      <x:c r="S12" s="45" t="str">
        <x:v>Mantener seguimiento preventivo institucional</x:v>
      </x:c>
      <x:c r="T12" s="45" t="str"/>
      <x:c r="U12" s="45" t="str">
        <x:v>S2, p. 1, ítem 8</x:v>
      </x:c>
      <x:c r="V12" s="45" t="str">
        <x:v>CAIMI-S2-008</x:v>
      </x:c>
    </x:row>
    <x:row r="13" ht="42" customHeight="1">
      <x:c r="A13" s="45" t="n">
        <x:v>9</x:v>
      </x:c>
      <x:c r="B13" s="45" t="str">
        <x:v>PESA BEBE</x:v>
      </x:c>
      <x:c r="C13" s="45" t="str">
        <x:v>CHORDER</x:v>
      </x:c>
      <x:c r="D13" s="50" t="str">
        <x:v>MS3500</x:v>
      </x:c>
      <x:c r="E13" s="50" t="str">
        <x:v>C2206775</x:v>
      </x:c>
      <x:c r="F13" s="50" t="str">
        <x:v>7712</x:v>
      </x:c>
      <x:c r="G13" s="45" t="str">
        <x:v>MED.FAM-CONS.2</x:v>
      </x:c>
      <x:c r="H13" s="45" t="str">
        <x:v>ENCONTRADO EN CONS. 3, EQUIPO OPERATIVO</x:v>
      </x:c>
      <x:c r="I13" s="45" t="n">
        <x:v>1</x:v>
      </x:c>
      <x:c r="J13" s="45" t="str">
        <x:v>Operativo explícito sin incidencia pendiente consignada</x:v>
      </x:c>
      <x:c r="K13" s="45" t="str">
        <x:v>Operativo explícito sin incidencia pendiente consignada</x:v>
      </x:c>
      <x:c r="L13" s="45" t="str">
        <x:v>MED.FAM-CONS.2</x:v>
      </x:c>
      <x:c r="M13" s="45" t="str">
        <x:v>base</x:v>
      </x:c>
      <x:c r="N13" s="45" t="str">
        <x:v>ENCONTRADO EN CONS. 3, EQUIPO OPERATIVO</x:v>
      </x:c>
      <x:c r="O13" s="49" t="str">
        <x:v>No indicada</x:v>
      </x:c>
      <x:c r="P13" s="50" t="str">
        <x:v>No aplica</x:v>
      </x:c>
      <x:c r="Q13" s="45" t="str">
        <x:v>No aplica</x:v>
      </x:c>
      <x:c r="R13" s="45" t="str"/>
      <x:c r="S13" s="45" t="str">
        <x:v>Mantener seguimiento preventivo institucional</x:v>
      </x:c>
      <x:c r="T13" s="45" t="str"/>
      <x:c r="U13" s="45" t="str">
        <x:v>S2, p. 1, ítem 9</x:v>
      </x:c>
      <x:c r="V13" s="45" t="str">
        <x:v>CAIMI-S2-009</x:v>
      </x:c>
    </x:row>
    <x:row r="14" ht="42" customHeight="1">
      <x:c r="A14" s="45" t="n">
        <x:v>10</x:v>
      </x:c>
      <x:c r="B14" s="45" t="str">
        <x:v>EQUIPO DE ORGANOS</x:v>
      </x:c>
      <x:c r="C14" s="45" t="str">
        <x:v>WELCH ALLYN</x:v>
      </x:c>
      <x:c r="D14" s="50" t="str">
        <x:v>777</x:v>
      </x:c>
      <x:c r="E14" s="50" t="str">
        <x:v>408282</x:v>
      </x:c>
      <x:c r="F14" s="50" t="str">
        <x:v>3241</x:v>
      </x:c>
      <x:c r="G14" s="45" t="str">
        <x:v>MED.FAM-CONS.2</x:v>
      </x:c>
      <x:c r="H14" s="45" t="str">
        <x:v>EQUIPO OPERATIVO</x:v>
      </x:c>
      <x:c r="I14" s="45" t="n">
        <x:v>1</x:v>
      </x:c>
      <x:c r="J14" s="45" t="str">
        <x:v>Operativo explícito sin incidencia pendiente consignada</x:v>
      </x:c>
      <x:c r="K14" s="45" t="str">
        <x:v>Operativo explícito sin incidencia pendiente consignada</x:v>
      </x:c>
      <x:c r="L14" s="45" t="str">
        <x:v>MED.FAM-CONS.2</x:v>
      </x:c>
      <x:c r="M14" s="45" t="str">
        <x:v>base</x:v>
      </x:c>
      <x:c r="N14" s="45" t="str">
        <x:v>EQUIPO OPERATIVO</x:v>
      </x:c>
      <x:c r="O14" s="49" t="str">
        <x:v>No indicada</x:v>
      </x:c>
      <x:c r="P14" s="50" t="str">
        <x:v>No aplica</x:v>
      </x:c>
      <x:c r="Q14" s="45" t="str">
        <x:v>No aplica</x:v>
      </x:c>
      <x:c r="R14" s="45" t="str"/>
      <x:c r="S14" s="45" t="str">
        <x:v>Mantener seguimiento preventivo institucional</x:v>
      </x:c>
      <x:c r="T14" s="45" t="str"/>
      <x:c r="U14" s="45" t="str">
        <x:v>S2, p. 1, ítem 10</x:v>
      </x:c>
      <x:c r="V14" s="45" t="str">
        <x:v>CAIMI-S2-010</x:v>
      </x:c>
    </x:row>
    <x:row r="15" ht="42" customHeight="1">
      <x:c r="A15" s="45" t="n">
        <x:v>11</x:v>
      </x:c>
      <x:c r="B15" s="45" t="str">
        <x:v>BASCULA DE PISO</x:v>
      </x:c>
      <x:c r="C15" s="45" t="str">
        <x:v>HEALTH O METER</x:v>
      </x:c>
      <x:c r="D15" s="50" t="str">
        <x:v>844 KL</x:v>
      </x:c>
      <x:c r="E15" s="50" t="str">
        <x:v>3940142464</x:v>
      </x:c>
      <x:c r="F15" s="50" t="str">
        <x:v>7836</x:v>
      </x:c>
      <x:c r="G15" s="45" t="str">
        <x:v>MED.FAMILIAR 1</x:v>
      </x:c>
      <x:c r="H15" s="45" t="str">
        <x:v>ENCONTRADO EN CONS. 2, EQUIPO OPERATIVO</x:v>
      </x:c>
      <x:c r="I15" s="45" t="n">
        <x:v>1</x:v>
      </x:c>
      <x:c r="J15" s="45" t="str">
        <x:v>Operativo explícito sin incidencia pendiente consignada</x:v>
      </x:c>
      <x:c r="K15" s="45" t="str">
        <x:v>Operativo explícito sin incidencia pendiente consignada</x:v>
      </x:c>
      <x:c r="L15" s="45" t="str">
        <x:v>MED.FAMILIAR 1</x:v>
      </x:c>
      <x:c r="M15" s="45" t="str">
        <x:v>base</x:v>
      </x:c>
      <x:c r="N15" s="45" t="str">
        <x:v>ENCONTRADO EN CONS. 2, EQUIPO OPERATIVO</x:v>
      </x:c>
      <x:c r="O15" s="49" t="str">
        <x:v>No indicada</x:v>
      </x:c>
      <x:c r="P15" s="50" t="str">
        <x:v>No aplica</x:v>
      </x:c>
      <x:c r="Q15" s="45" t="str">
        <x:v>No aplica</x:v>
      </x:c>
      <x:c r="R15" s="45" t="str"/>
      <x:c r="S15" s="45" t="str">
        <x:v>Mantener seguimiento preventivo institucional</x:v>
      </x:c>
      <x:c r="T15" s="45" t="str"/>
      <x:c r="U15" s="45" t="str">
        <x:v>S2, p. 1, ítem 11</x:v>
      </x:c>
      <x:c r="V15" s="45" t="str">
        <x:v>CAIMI-S2-011</x:v>
      </x:c>
    </x:row>
    <x:row r="16" ht="42" customHeight="1">
      <x:c r="A16" s="45" t="n">
        <x:v>12</x:v>
      </x:c>
      <x:c r="B16" s="45" t="str">
        <x:v>TENSIOMETRO DE PARED</x:v>
      </x:c>
      <x:c r="C16" s="45" t="str">
        <x:v>WELCH ALLYN</x:v>
      </x:c>
      <x:c r="D16" s="50" t="str">
        <x:v>LIMITED</x:v>
      </x:c>
      <x:c r="E16" s="50" t="str">
        <x:v>140918092536</x:v>
      </x:c>
      <x:c r="F16" s="50" t="str">
        <x:v>3247</x:v>
      </x:c>
      <x:c r="G16" s="45" t="str">
        <x:v>MED.FAM-CONS.2</x:v>
      </x:c>
      <x:c r="H16" s="45" t="str">
        <x:v>EQUIPO OPERATIVO</x:v>
      </x:c>
      <x:c r="I16" s="45" t="n">
        <x:v>1</x:v>
      </x:c>
      <x:c r="J16" s="45" t="str">
        <x:v>Operativo explícito sin incidencia pendiente consignada</x:v>
      </x:c>
      <x:c r="K16" s="45" t="str">
        <x:v>Operativo explícito sin incidencia pendiente consignada</x:v>
      </x:c>
      <x:c r="L16" s="45" t="str">
        <x:v>MED.FAM-CONS.2</x:v>
      </x:c>
      <x:c r="M16" s="45" t="str">
        <x:v>base</x:v>
      </x:c>
      <x:c r="N16" s="45" t="str">
        <x:v>EQUIPO OPERATIVO</x:v>
      </x:c>
      <x:c r="O16" s="49" t="str">
        <x:v>No indicada</x:v>
      </x:c>
      <x:c r="P16" s="50" t="str">
        <x:v>No aplica</x:v>
      </x:c>
      <x:c r="Q16" s="45" t="str">
        <x:v>No aplica</x:v>
      </x:c>
      <x:c r="R16" s="45" t="str"/>
      <x:c r="S16" s="45" t="str">
        <x:v>Mantener seguimiento preventivo institucional</x:v>
      </x:c>
      <x:c r="T16" s="45" t="str"/>
      <x:c r="U16" s="45" t="str">
        <x:v>S2, p. 1, ítem 12</x:v>
      </x:c>
      <x:c r="V16" s="45" t="str">
        <x:v>CAIMI-S2-012</x:v>
      </x:c>
    </x:row>
    <x:row r="17" ht="42" customHeight="1">
      <x:c r="A17" s="45" t="n">
        <x:v>13</x:v>
      </x:c>
      <x:c r="B17" s="45" t="str">
        <x:v>FONENDOSCOPIO</x:v>
      </x:c>
      <x:c r="C17" s="45" t="str">
        <x:v>RIESTER</x:v>
      </x:c>
      <x:c r="D17" s="50" t="str">
        <x:v>DUPLEX</x:v>
      </x:c>
      <x:c r="E17" s="50" t="str">
        <x:v>N/R</x:v>
      </x:c>
      <x:c r="F17" s="50" t="str">
        <x:v>N/R</x:v>
      </x:c>
      <x:c r="G17" s="45" t="str">
        <x:v>MED.FAM-CONS.2</x:v>
      </x:c>
      <x:c r="H17" s="45" t="str">
        <x:v>EQUIPO OPERATIVO</x:v>
      </x:c>
      <x:c r="I17" s="45" t="n">
        <x:v>1</x:v>
      </x:c>
      <x:c r="J17" s="45" t="str">
        <x:v>Operativo explícito sin incidencia pendiente consignada</x:v>
      </x:c>
      <x:c r="K17" s="45" t="str">
        <x:v>Operativo explícito sin incidencia pendiente consignada</x:v>
      </x:c>
      <x:c r="L17" s="45" t="str">
        <x:v>MED.FAM-CONS.2</x:v>
      </x:c>
      <x:c r="M17" s="45" t="str">
        <x:v>base</x:v>
      </x:c>
      <x:c r="N17" s="45" t="str">
        <x:v>EQUIPO OPERATIVO</x:v>
      </x:c>
      <x:c r="O17" s="49" t="str">
        <x:v>No indicada</x:v>
      </x:c>
      <x:c r="P17" s="50" t="str">
        <x:v>No aplica</x:v>
      </x:c>
      <x:c r="Q17" s="45" t="str">
        <x:v>No aplica</x:v>
      </x:c>
      <x:c r="R17" s="45" t="str"/>
      <x:c r="S17" s="45" t="str">
        <x:v>Mantener seguimiento preventivo institucional</x:v>
      </x:c>
      <x:c r="T17" s="45" t="str"/>
      <x:c r="U17" s="45" t="str">
        <x:v>S2, p. 1, ítem 13</x:v>
      </x:c>
      <x:c r="V17" s="45" t="str">
        <x:v>CAIMI-S2-013</x:v>
      </x:c>
    </x:row>
    <x:row r="18" ht="42" customHeight="1">
      <x:c r="A18" s="45" t="n">
        <x:v>14</x:v>
      </x:c>
      <x:c r="B18" s="45" t="str">
        <x:v>DOPPLER FETAL</x:v>
      </x:c>
      <x:c r="C18" s="45" t="str">
        <x:v>EDAN</x:v>
      </x:c>
      <x:c r="D18" s="50" t="str">
        <x:v>SONOTRAX II PRO</x:v>
      </x:c>
      <x:c r="E18" s="50" t="str">
        <x:v>560054- M18504500055</x:v>
      </x:c>
      <x:c r="F18" s="50" t="str">
        <x:v>5889</x:v>
      </x:c>
      <x:c r="G18" s="45" t="str">
        <x:v>MED.FAM-CONS.2</x:v>
      </x:c>
      <x:c r="H18" s="45" t="str">
        <x:v>EQUIPO OPERATIVO</x:v>
      </x:c>
      <x:c r="I18" s="45" t="n">
        <x:v>1</x:v>
      </x:c>
      <x:c r="J18" s="45" t="str">
        <x:v>Operativo explícito sin incidencia pendiente consignada</x:v>
      </x:c>
      <x:c r="K18" s="45" t="str">
        <x:v>Operativo explícito sin incidencia pendiente consignada</x:v>
      </x:c>
      <x:c r="L18" s="45" t="str">
        <x:v>MED.FAM-CONS.2</x:v>
      </x:c>
      <x:c r="M18" s="45" t="str">
        <x:v>base</x:v>
      </x:c>
      <x:c r="N18" s="45" t="str">
        <x:v>EQUIPO OPERATIVO</x:v>
      </x:c>
      <x:c r="O18" s="49" t="str">
        <x:v>No indicada</x:v>
      </x:c>
      <x:c r="P18" s="50" t="str">
        <x:v>No aplica</x:v>
      </x:c>
      <x:c r="Q18" s="45" t="str">
        <x:v>No aplica</x:v>
      </x:c>
      <x:c r="R18" s="45" t="str"/>
      <x:c r="S18" s="45" t="str">
        <x:v>Mantener seguimiento preventivo institucional</x:v>
      </x:c>
      <x:c r="T18" s="45" t="str"/>
      <x:c r="U18" s="45" t="str">
        <x:v>S2, p. 1, ítem 14</x:v>
      </x:c>
      <x:c r="V18" s="45" t="str">
        <x:v>CAIMI-S2-014</x:v>
      </x:c>
    </x:row>
    <x:row r="19" ht="42" customHeight="1">
      <x:c r="A19" s="45" t="n">
        <x:v>15</x:v>
      </x:c>
      <x:c r="B19" s="45" t="str">
        <x:v>BASCULA DE PISO</x:v>
      </x:c>
      <x:c r="C19" s="45" t="str">
        <x:v>HEALTH O METER</x:v>
      </x:c>
      <x:c r="D19" s="50" t="str">
        <x:v>844 KL</x:v>
      </x:c>
      <x:c r="E19" s="50" t="str">
        <x:v>8440140731</x:v>
      </x:c>
      <x:c r="F19" s="50" t="str">
        <x:v>N/R</x:v>
      </x:c>
      <x:c r="G19" s="45" t="str">
        <x:v>MED.FAM-CONS.4</x:v>
      </x:c>
      <x:c r="H19" s="45" t="str">
        <x:v>EQUIPO OPERATIVO</x:v>
      </x:c>
      <x:c r="I19" s="45" t="n">
        <x:v>1</x:v>
      </x:c>
      <x:c r="J19" s="45" t="str">
        <x:v>Operativo explícito sin incidencia pendiente consignada</x:v>
      </x:c>
      <x:c r="K19" s="45" t="str">
        <x:v>Operativo explícito sin incidencia pendiente consignada</x:v>
      </x:c>
      <x:c r="L19" s="45" t="str">
        <x:v>MED.FAM-CONS.4</x:v>
      </x:c>
      <x:c r="M19" s="45" t="str">
        <x:v>base</x:v>
      </x:c>
      <x:c r="N19" s="45" t="str">
        <x:v>EQUIPO OPERATIVO</x:v>
      </x:c>
      <x:c r="O19" s="49" t="str">
        <x:v>No indicada</x:v>
      </x:c>
      <x:c r="P19" s="50" t="str">
        <x:v>No aplica</x:v>
      </x:c>
      <x:c r="Q19" s="45" t="str">
        <x:v>No aplica</x:v>
      </x:c>
      <x:c r="R19" s="45" t="str"/>
      <x:c r="S19" s="45" t="str">
        <x:v>Mantener seguimiento preventivo institucional</x:v>
      </x:c>
      <x:c r="T19" s="45" t="str"/>
      <x:c r="U19" s="45" t="str">
        <x:v>S2, p. 1, ítem 15</x:v>
      </x:c>
      <x:c r="V19" s="45" t="str">
        <x:v>CAIMI-S2-015</x:v>
      </x:c>
    </x:row>
    <x:row r="20" ht="42" customHeight="1">
      <x:c r="A20" s="45" t="n">
        <x:v>16</x:v>
      </x:c>
      <x:c r="B20" s="45" t="str">
        <x:v>TALLIMETRO</x:v>
      </x:c>
      <x:c r="C20" s="45" t="str">
        <x:v>SECA</x:v>
      </x:c>
      <x:c r="D20" s="50" t="str">
        <x:v>217</x:v>
      </x:c>
      <x:c r="E20" s="50" t="str">
        <x:v>N/R</x:v>
      </x:c>
      <x:c r="F20" s="50" t="str">
        <x:v>6241</x:v>
      </x:c>
      <x:c r="G20" s="45" t="str">
        <x:v>MED.FAM-CONS.4</x:v>
      </x:c>
      <x:c r="H20" s="45" t="str">
        <x:v>EQUIPO OPERATIVO</x:v>
      </x:c>
      <x:c r="I20" s="45" t="n">
        <x:v>1</x:v>
      </x:c>
      <x:c r="J20" s="45" t="str">
        <x:v>Operativo explícito sin incidencia pendiente consignada</x:v>
      </x:c>
      <x:c r="K20" s="45" t="str">
        <x:v>Operativo explícito sin incidencia pendiente consignada</x:v>
      </x:c>
      <x:c r="L20" s="45" t="str">
        <x:v>MED.FAM-CONS.4</x:v>
      </x:c>
      <x:c r="M20" s="45" t="str">
        <x:v>base</x:v>
      </x:c>
      <x:c r="N20" s="45" t="str">
        <x:v>EQUIPO OPERATIVO</x:v>
      </x:c>
      <x:c r="O20" s="49" t="str">
        <x:v>No indicada</x:v>
      </x:c>
      <x:c r="P20" s="50" t="str">
        <x:v>No aplica</x:v>
      </x:c>
      <x:c r="Q20" s="45" t="str">
        <x:v>No aplica</x:v>
      </x:c>
      <x:c r="R20" s="45" t="str"/>
      <x:c r="S20" s="45" t="str">
        <x:v>Mantener seguimiento preventivo institucional</x:v>
      </x:c>
      <x:c r="T20" s="45" t="str"/>
      <x:c r="U20" s="45" t="str">
        <x:v>S2, p. 1, ítem 16</x:v>
      </x:c>
      <x:c r="V20" s="45" t="str">
        <x:v>CAIMI-S2-016</x:v>
      </x:c>
    </x:row>
    <x:row r="21" ht="42" customHeight="1">
      <x:c r="A21" s="45" t="n">
        <x:v>17</x:v>
      </x:c>
      <x:c r="B21" s="45" t="str">
        <x:v>EQUIPO DE ORGANOS</x:v>
      </x:c>
      <x:c r="C21" s="45" t="str">
        <x:v>WELCH ALLYN</x:v>
      </x:c>
      <x:c r="D21" s="50" t="str">
        <x:v>777</x:v>
      </x:c>
      <x:c r="E21" s="50" t="str">
        <x:v>13259</x:v>
      </x:c>
      <x:c r="F21" s="50" t="str">
        <x:v>3240</x:v>
      </x:c>
      <x:c r="G21" s="45" t="str">
        <x:v>MED.FAM-CONS.3</x:v>
      </x:c>
      <x:c r="H21" s="45" t="str">
        <x:v>EQUIPO OPERATIVO</x:v>
      </x:c>
      <x:c r="I21" s="45" t="n">
        <x:v>1</x:v>
      </x:c>
      <x:c r="J21" s="45" t="str">
        <x:v>Operativo explícito sin incidencia pendiente consignada</x:v>
      </x:c>
      <x:c r="K21" s="45" t="str">
        <x:v>Operativo explícito sin incidencia pendiente consignada</x:v>
      </x:c>
      <x:c r="L21" s="45" t="str">
        <x:v>MED.FAM-CONS.3</x:v>
      </x:c>
      <x:c r="M21" s="45" t="str">
        <x:v>base</x:v>
      </x:c>
      <x:c r="N21" s="45" t="str">
        <x:v>EQUIPO OPERATIVO</x:v>
      </x:c>
      <x:c r="O21" s="49" t="str">
        <x:v>No indicada</x:v>
      </x:c>
      <x:c r="P21" s="50" t="str">
        <x:v>No aplica</x:v>
      </x:c>
      <x:c r="Q21" s="45" t="str">
        <x:v>No aplica</x:v>
      </x:c>
      <x:c r="R21" s="45" t="str"/>
      <x:c r="S21" s="45" t="str">
        <x:v>Mantener seguimiento preventivo institucional</x:v>
      </x:c>
      <x:c r="T21" s="45" t="str"/>
      <x:c r="U21" s="45" t="str">
        <x:v>S2, p. 1, ítem 17</x:v>
      </x:c>
      <x:c r="V21" s="45" t="str">
        <x:v>CAIMI-S2-017</x:v>
      </x:c>
    </x:row>
    <x:row r="22" ht="42" customHeight="1">
      <x:c r="A22" s="45" t="n">
        <x:v>18</x:v>
      </x:c>
      <x:c r="B22" s="45" t="str">
        <x:v>TENSIOMETRO DE PARED</x:v>
      </x:c>
      <x:c r="C22" s="45" t="str">
        <x:v>WELCH ALLYN</x:v>
      </x:c>
      <x:c r="D22" s="50" t="str">
        <x:v>LIFE TIME</x:v>
      </x:c>
      <x:c r="E22" s="50" t="str">
        <x:v>140227211175</x:v>
      </x:c>
      <x:c r="F22" s="50" t="str">
        <x:v>3246</x:v>
      </x:c>
      <x:c r="G22" s="45" t="str">
        <x:v>MED.FAM-CONS.4</x:v>
      </x:c>
      <x:c r="H22" s="45" t="str">
        <x:v>EQUIPO OPERATIVO</x:v>
      </x:c>
      <x:c r="I22" s="45" t="n">
        <x:v>1</x:v>
      </x:c>
      <x:c r="J22" s="45" t="str">
        <x:v>Operativo explícito sin incidencia pendiente consignada</x:v>
      </x:c>
      <x:c r="K22" s="45" t="str">
        <x:v>Operativo explícito sin incidencia pendiente consignada</x:v>
      </x:c>
      <x:c r="L22" s="45" t="str">
        <x:v>MED.FAM-CONS.4</x:v>
      </x:c>
      <x:c r="M22" s="45" t="str">
        <x:v>base</x:v>
      </x:c>
      <x:c r="N22" s="45" t="str">
        <x:v>EQUIPO OPERATIVO</x:v>
      </x:c>
      <x:c r="O22" s="49" t="str">
        <x:v>No indicada</x:v>
      </x:c>
      <x:c r="P22" s="50" t="str">
        <x:v>No aplica</x:v>
      </x:c>
      <x:c r="Q22" s="45" t="str">
        <x:v>No aplica</x:v>
      </x:c>
      <x:c r="R22" s="45" t="str"/>
      <x:c r="S22" s="45" t="str">
        <x:v>Mantener seguimiento preventivo institucional</x:v>
      </x:c>
      <x:c r="T22" s="45" t="str"/>
      <x:c r="U22" s="45" t="str">
        <x:v>S2, p. 1, ítem 18</x:v>
      </x:c>
      <x:c r="V22" s="45" t="str">
        <x:v>CAIMI-S2-018</x:v>
      </x:c>
    </x:row>
    <x:row r="23" ht="42" customHeight="1">
      <x:c r="A23" s="45" t="n">
        <x:v>19</x:v>
      </x:c>
      <x:c r="B23" s="45" t="str">
        <x:v>EQUIPO DE ORGANOS</x:v>
      </x:c>
      <x:c r="C23" s="45" t="str">
        <x:v>WELCH ALLYN</x:v>
      </x:c>
      <x:c r="D23" s="50" t="str">
        <x:v>777</x:v>
      </x:c>
      <x:c r="E23" s="50" t="str">
        <x:v>N/R</x:v>
      </x:c>
      <x:c r="F23" s="50" t="str">
        <x:v>3236</x:v>
      </x:c>
      <x:c r="G23" s="45" t="str">
        <x:v>MED.FAM-CONS.3</x:v>
      </x:c>
      <x:c r="H23" s="45" t="str">
        <x:v>EQUIPO OPERATIVO</x:v>
      </x:c>
      <x:c r="I23" s="45" t="n">
        <x:v>1</x:v>
      </x:c>
      <x:c r="J23" s="45" t="str">
        <x:v>Operativo explícito sin incidencia pendiente consignada</x:v>
      </x:c>
      <x:c r="K23" s="45" t="str">
        <x:v>Operativo explícito sin incidencia pendiente consignada</x:v>
      </x:c>
      <x:c r="L23" s="45" t="str">
        <x:v>MED.FAM-CONS.3</x:v>
      </x:c>
      <x:c r="M23" s="45" t="str">
        <x:v>base</x:v>
      </x:c>
      <x:c r="N23" s="45" t="str">
        <x:v>EQUIPO OPERATIVO</x:v>
      </x:c>
      <x:c r="O23" s="49" t="str">
        <x:v>No indicada</x:v>
      </x:c>
      <x:c r="P23" s="50" t="str">
        <x:v>No aplica</x:v>
      </x:c>
      <x:c r="Q23" s="45" t="str">
        <x:v>No aplica</x:v>
      </x:c>
      <x:c r="R23" s="45" t="str"/>
      <x:c r="S23" s="45" t="str">
        <x:v>Mantener seguimiento preventivo institucional</x:v>
      </x:c>
      <x:c r="T23" s="45" t="str"/>
      <x:c r="U23" s="45" t="str">
        <x:v>S2, p. 1, ítem 19</x:v>
      </x:c>
      <x:c r="V23" s="45" t="str">
        <x:v>CAIMI-S2-019</x:v>
      </x:c>
    </x:row>
    <x:row r="24" ht="42" customHeight="1">
      <x:c r="A24" s="45" t="n">
        <x:v>20</x:v>
      </x:c>
      <x:c r="B24" s="45" t="str">
        <x:v>TALLIMETRO</x:v>
      </x:c>
      <x:c r="C24" s="45" t="str">
        <x:v>SECA</x:v>
      </x:c>
      <x:c r="D24" s="50" t="str">
        <x:v>217</x:v>
      </x:c>
      <x:c r="E24" s="50" t="str">
        <x:v>N/R</x:v>
      </x:c>
      <x:c r="F24" s="50" t="str">
        <x:v>6240</x:v>
      </x:c>
      <x:c r="G24" s="45" t="str">
        <x:v>MED.FAM-CONS.3</x:v>
      </x:c>
      <x:c r="H24" s="45" t="str">
        <x:v>EQUIPO OPERATIVO</x:v>
      </x:c>
      <x:c r="I24" s="45" t="n">
        <x:v>1</x:v>
      </x:c>
      <x:c r="J24" s="45" t="str">
        <x:v>Operativo explícito sin incidencia pendiente consignada</x:v>
      </x:c>
      <x:c r="K24" s="45" t="str">
        <x:v>Operativo explícito sin incidencia pendiente consignada</x:v>
      </x:c>
      <x:c r="L24" s="45" t="str">
        <x:v>MED.FAM-CONS.3</x:v>
      </x:c>
      <x:c r="M24" s="45" t="str">
        <x:v>base</x:v>
      </x:c>
      <x:c r="N24" s="45" t="str">
        <x:v>EQUIPO OPERATIVO</x:v>
      </x:c>
      <x:c r="O24" s="49" t="str">
        <x:v>No indicada</x:v>
      </x:c>
      <x:c r="P24" s="50" t="str">
        <x:v>No aplica</x:v>
      </x:c>
      <x:c r="Q24" s="45" t="str">
        <x:v>No aplica</x:v>
      </x:c>
      <x:c r="R24" s="45" t="str"/>
      <x:c r="S24" s="45" t="str">
        <x:v>Mantener seguimiento preventivo institucional</x:v>
      </x:c>
      <x:c r="T24" s="45" t="str"/>
      <x:c r="U24" s="45" t="str">
        <x:v>S2, p. 1, ítem 20</x:v>
      </x:c>
      <x:c r="V24" s="45" t="str">
        <x:v>CAIMI-S2-020</x:v>
      </x:c>
    </x:row>
    <x:row r="25" ht="42" customHeight="1">
      <x:c r="A25" s="45" t="n">
        <x:v>21</x:v>
      </x:c>
      <x:c r="B25" s="45" t="str">
        <x:v>FONENDOSCOPIO</x:v>
      </x:c>
      <x:c r="C25" s="45" t="str">
        <x:v>RIESTER</x:v>
      </x:c>
      <x:c r="D25" s="50" t="str">
        <x:v>DUPLEX</x:v>
      </x:c>
      <x:c r="E25" s="50" t="str">
        <x:v>N/R</x:v>
      </x:c>
      <x:c r="F25" s="50" t="str">
        <x:v>N/R</x:v>
      </x:c>
      <x:c r="G25" s="45" t="str">
        <x:v>MED.FAM-CONS.3</x:v>
      </x:c>
      <x:c r="H25" s="45" t="str">
        <x:v>EQUIPO OPERATIVO</x:v>
      </x:c>
      <x:c r="I25" s="45" t="n">
        <x:v>1</x:v>
      </x:c>
      <x:c r="J25" s="45" t="str">
        <x:v>Operativo explícito sin incidencia pendiente consignada</x:v>
      </x:c>
      <x:c r="K25" s="45" t="str">
        <x:v>Operativo explícito sin incidencia pendiente consignada</x:v>
      </x:c>
      <x:c r="L25" s="45" t="str">
        <x:v>MED.FAM-CONS.3</x:v>
      </x:c>
      <x:c r="M25" s="45" t="str">
        <x:v>base</x:v>
      </x:c>
      <x:c r="N25" s="45" t="str">
        <x:v>EQUIPO OPERATIVO</x:v>
      </x:c>
      <x:c r="O25" s="49" t="str">
        <x:v>No indicada</x:v>
      </x:c>
      <x:c r="P25" s="50" t="str">
        <x:v>No aplica</x:v>
      </x:c>
      <x:c r="Q25" s="45" t="str">
        <x:v>No aplica</x:v>
      </x:c>
      <x:c r="R25" s="45" t="str"/>
      <x:c r="S25" s="45" t="str">
        <x:v>Mantener seguimiento preventivo institucional</x:v>
      </x:c>
      <x:c r="T25" s="45" t="str"/>
      <x:c r="U25" s="45" t="str">
        <x:v>S2, p. 1, ítem 21</x:v>
      </x:c>
      <x:c r="V25" s="45" t="str">
        <x:v>CAIMI-S2-021</x:v>
      </x:c>
    </x:row>
    <x:row r="26" ht="42" customHeight="1">
      <x:c r="A26" s="45" t="n">
        <x:v>22</x:v>
      </x:c>
      <x:c r="B26" s="45" t="str">
        <x:v>TENSIOMETRO DE PARED</x:v>
      </x:c>
      <x:c r="C26" s="45" t="str">
        <x:v>WELCH ALLYN</x:v>
      </x:c>
      <x:c r="D26" s="50" t="str">
        <x:v>LIFE TIME</x:v>
      </x:c>
      <x:c r="E26" s="50" t="str">
        <x:v>130918095646</x:v>
      </x:c>
      <x:c r="F26" s="50" t="str">
        <x:v>3245</x:v>
      </x:c>
      <x:c r="G26" s="45" t="str">
        <x:v>MED.FAM-CONS.3</x:v>
      </x:c>
      <x:c r="H26" s="45" t="str">
        <x:v>EQUIPO OPERATIVO</x:v>
      </x:c>
      <x:c r="I26" s="45" t="n">
        <x:v>1</x:v>
      </x:c>
      <x:c r="J26" s="45" t="str">
        <x:v>Operativo explícito sin incidencia pendiente consignada</x:v>
      </x:c>
      <x:c r="K26" s="45" t="str">
        <x:v>Operativo explícito sin incidencia pendiente consignada</x:v>
      </x:c>
      <x:c r="L26" s="45" t="str">
        <x:v>MED.FAM-CONS.3</x:v>
      </x:c>
      <x:c r="M26" s="45" t="str">
        <x:v>base</x:v>
      </x:c>
      <x:c r="N26" s="45" t="str">
        <x:v>EQUIPO OPERATIVO</x:v>
      </x:c>
      <x:c r="O26" s="49" t="str">
        <x:v>No indicada</x:v>
      </x:c>
      <x:c r="P26" s="50" t="str">
        <x:v>No aplica</x:v>
      </x:c>
      <x:c r="Q26" s="45" t="str">
        <x:v>No aplica</x:v>
      </x:c>
      <x:c r="R26" s="45" t="str"/>
      <x:c r="S26" s="45" t="str">
        <x:v>Mantener seguimiento preventivo institucional</x:v>
      </x:c>
      <x:c r="T26" s="45" t="str"/>
      <x:c r="U26" s="45" t="str">
        <x:v>S2, p. 1, ítem 22</x:v>
      </x:c>
      <x:c r="V26" s="45" t="str">
        <x:v>CAIMI-S2-022</x:v>
      </x:c>
    </x:row>
    <x:row r="27" ht="42" customHeight="1">
      <x:c r="A27" s="45" t="n">
        <x:v>23</x:v>
      </x:c>
      <x:c r="B27" s="45" t="str">
        <x:v>BASCULA DE PISO</x:v>
      </x:c>
      <x:c r="C27" s="45" t="str">
        <x:v>HEALTH O METER</x:v>
      </x:c>
      <x:c r="D27" s="50" t="str">
        <x:v>844 KL</x:v>
      </x:c>
      <x:c r="E27" s="50" t="str">
        <x:v>844140402</x:v>
      </x:c>
      <x:c r="F27" s="50" t="str">
        <x:v>7703</x:v>
      </x:c>
      <x:c r="G27" s="45" t="str">
        <x:v>MED.FAM-CONS.2</x:v>
      </x:c>
      <x:c r="H27" s="45" t="str">
        <x:v>EQUIPO OPERATIVO</x:v>
      </x:c>
      <x:c r="I27" s="45" t="n">
        <x:v>1</x:v>
      </x:c>
      <x:c r="J27" s="45" t="str">
        <x:v>Operativo explícito sin incidencia pendiente consignada</x:v>
      </x:c>
      <x:c r="K27" s="45" t="str">
        <x:v>Operativo explícito sin incidencia pendiente consignada</x:v>
      </x:c>
      <x:c r="L27" s="45" t="str">
        <x:v>MED.FAM-CONS.2</x:v>
      </x:c>
      <x:c r="M27" s="45" t="str">
        <x:v>base</x:v>
      </x:c>
      <x:c r="N27" s="45" t="str">
        <x:v>EQUIPO OPERATIVO</x:v>
      </x:c>
      <x:c r="O27" s="49" t="str">
        <x:v>No indicada</x:v>
      </x:c>
      <x:c r="P27" s="50" t="str">
        <x:v>No aplica</x:v>
      </x:c>
      <x:c r="Q27" s="45" t="str">
        <x:v>No aplica</x:v>
      </x:c>
      <x:c r="R27" s="45" t="str"/>
      <x:c r="S27" s="45" t="str">
        <x:v>Mantener seguimiento preventivo institucional</x:v>
      </x:c>
      <x:c r="T27" s="45" t="str"/>
      <x:c r="U27" s="45" t="str">
        <x:v>S2, p. 1, ítem 23</x:v>
      </x:c>
      <x:c r="V27" s="45" t="str">
        <x:v>CAIMI-S2-023</x:v>
      </x:c>
    </x:row>
    <x:row r="28" ht="42" customHeight="1">
      <x:c r="A28" s="45" t="n">
        <x:v>24</x:v>
      </x:c>
      <x:c r="B28" s="45" t="str">
        <x:v>SUCCIONADOR</x:v>
      </x:c>
      <x:c r="C28" s="45" t="str">
        <x:v>CA-MI</x:v>
      </x:c>
      <x:c r="D28" s="50" t="str">
        <x:v>NEW ASPIREK</x:v>
      </x:c>
      <x:c r="E28" s="50" t="str">
        <x:v>64378</x:v>
      </x:c>
      <x:c r="F28" s="50" t="str">
        <x:v>6215</x:v>
      </x:c>
      <x:c r="G28" s="45" t="str">
        <x:v>REANIMACION</x:v>
      </x:c>
      <x:c r="H28" s="45" t="str">
        <x:v>SE REALIZA DESPIECE , LIMPIEZA GENERAL, AJUSTE DE CIRCUITO NEUMATICO , FUNCIONA CORRECTAMENTE</x:v>
      </x:c>
      <x:c r="I28" s="45" t="n">
        <x:v>1</x:v>
      </x:c>
      <x:c r="J28" s="45" t="str">
        <x:v>Operativo explícito sin incidencia pendiente consignada</x:v>
      </x:c>
      <x:c r="K28" s="45" t="str">
        <x:v>Operativo explícito sin incidencia pendiente consignada</x:v>
      </x:c>
      <x:c r="L28" s="45" t="str">
        <x:v>REANIMACION</x:v>
      </x:c>
      <x:c r="M28" s="45" t="str">
        <x:v>base</x:v>
      </x:c>
      <x:c r="N28" s="45" t="str">
        <x:v>SE REALIZA DESPIECE , LIMPIEZA GENERAL, AJUSTE DE CIRCUITO NEUMATICO , FUNCIONA CORRECTAMENTE</x:v>
      </x:c>
      <x:c r="O28" s="49" t="str">
        <x:v>No indicada</x:v>
      </x:c>
      <x:c r="P28" s="50" t="str">
        <x:v>No aplica</x:v>
      </x:c>
      <x:c r="Q28" s="45" t="str">
        <x:v>No aplica</x:v>
      </x:c>
      <x:c r="R28" s="45" t="str"/>
      <x:c r="S28" s="45" t="str">
        <x:v>Mantener seguimiento preventivo institucional</x:v>
      </x:c>
      <x:c r="T28" s="45" t="str"/>
      <x:c r="U28" s="45" t="str">
        <x:v>S2, p. 1, ítem 24</x:v>
      </x:c>
      <x:c r="V28" s="45" t="str">
        <x:v>CAIMI-S2-024</x:v>
      </x:c>
    </x:row>
    <x:row r="29" ht="54" customHeight="1">
      <x:c r="A29" s="45" t="n">
        <x:v>25</x:v>
      </x:c>
      <x:c r="B29" s="45" t="str">
        <x:v>MONITOR DE SIGNOS VITALES</x:v>
      </x:c>
      <x:c r="C29" s="45" t="str">
        <x:v>MINDRAY</x:v>
      </x:c>
      <x:c r="D29" s="50" t="str">
        <x:v>UMEC 10</x:v>
      </x:c>
      <x:c r="E29" s="50" t="str">
        <x:v>KN-96047111</x:v>
      </x:c>
      <x:c r="F29" s="50" t="str">
        <x:v>6211</x:v>
      </x:c>
      <x:c r="G29" s="45" t="str">
        <x:v>HIDRATACION</x:v>
      </x:c>
      <x:c r="H29" s="45" t="str">
        <x:v>EQUIPO PRESENTA PERDIDAS DE COLOR EN LA PANTALLA (BRILLO) DETERIORO POR USO , RECOMENDACIÓN DE RENOVACION DE TENOLOGIA. EQUIPO OPERATIVO CON OBSERVACIONES</x:v>
      </x:c>
      <x:c r="I29" s="45" t="n">
        <x:v>2</x:v>
      </x:c>
      <x:c r="J29" s="45" t="str">
        <x:v>Operativo con observaciones</x:v>
      </x:c>
      <x:c r="K29" s="45" t="str">
        <x:v>Operativo con observaciones</x:v>
      </x:c>
      <x:c r="L29" s="45" t="str">
        <x:v>HIDRATACION</x:v>
      </x:c>
      <x:c r="M29" s="45" t="str">
        <x:v>base</x:v>
      </x:c>
      <x:c r="N29" s="45" t="str">
        <x:v>EQUIPO PRESENTA PERDIDAS DE COLOR EN LA PANTALLA (BRILLO) DETERIORO POR USO , RECOMENDACIÓN DE RENOVACION DE TENOLOGIA. EQUIPO OPERATIVO CON OBSERVACIONES</x:v>
      </x:c>
      <x:c r="O29" s="49" t="str">
        <x:v>No indicada</x:v>
      </x:c>
      <x:c r="P29" s="50" t="str">
        <x:v>No aplica</x:v>
      </x:c>
      <x:c r="Q29" s="45" t="str">
        <x:v>No aplica</x:v>
      </x:c>
      <x:c r="R29" s="45" t="str"/>
      <x:c r="S29" s="45" t="str">
        <x:v>Gestionar observaciones originales y documentar verificación técnica posterior</x:v>
      </x:c>
      <x:c r="T29" s="45" t="str">
        <x:v>Intervención o verificación técnica; Renovación tecnológica recomendada; Corrosión / desgaste / deterioro</x:v>
      </x:c>
      <x:c r="U29" s="45" t="str">
        <x:v>S2, p. 2, ítem 25</x:v>
      </x:c>
      <x:c r="V29" s="45" t="str">
        <x:v>CAIMI-S2-025</x:v>
      </x:c>
    </x:row>
    <x:row r="30" ht="42" customHeight="1">
      <x:c r="A30" s="45" t="n">
        <x:v>26</x:v>
      </x:c>
      <x:c r="B30" s="45" t="str">
        <x:v>DESFIBRILADOR</x:v>
      </x:c>
      <x:c r="C30" s="45" t="str">
        <x:v>NIHON KOHDEN</x:v>
      </x:c>
      <x:c r="D30" s="50" t="str">
        <x:v>TEC-5631</x:v>
      </x:c>
      <x:c r="E30" s="50" t="str">
        <x:v>2319</x:v>
      </x:c>
      <x:c r="F30" s="50" t="str">
        <x:v>6811</x:v>
      </x:c>
      <x:c r="G30" s="45" t="str">
        <x:v>OBS-URG</x:v>
      </x:c>
      <x:c r="H30" s="45" t="str">
        <x:v>SE REALIZA MANTENIMIENTO CON RUTINA DE LIMPIEZA , PRUEBAS DE FUNCIONAMIENTO, EQUIPO OPERATIVO</x:v>
      </x:c>
      <x:c r="I30" s="45" t="n">
        <x:v>2</x:v>
      </x:c>
      <x:c r="J30" s="45" t="str">
        <x:v>Operativo explícito sin incidencia pendiente consignada</x:v>
      </x:c>
      <x:c r="K30" s="45" t="str">
        <x:v>Operativo explícito sin incidencia pendiente consignada</x:v>
      </x:c>
      <x:c r="L30" s="45" t="str">
        <x:v>OBS-URG</x:v>
      </x:c>
      <x:c r="M30" s="45" t="str">
        <x:v>base</x:v>
      </x:c>
      <x:c r="N30" s="45" t="str">
        <x:v>SE REALIZA MANTENIMIENTO CON RUTINA DE LIMPIEZA , PRUEBAS DE FUNCIONAMIENTO, EQUIPO OPERATIVO</x:v>
      </x:c>
      <x:c r="O30" s="49" t="str">
        <x:v>No indicada</x:v>
      </x:c>
      <x:c r="P30" s="50" t="str">
        <x:v>No aplica</x:v>
      </x:c>
      <x:c r="Q30" s="45" t="str">
        <x:v>No aplica</x:v>
      </x:c>
      <x:c r="R30" s="45" t="str"/>
      <x:c r="S30" s="45" t="str">
        <x:v>Mantener seguimiento preventivo institucional</x:v>
      </x:c>
      <x:c r="T30" s="45" t="str"/>
      <x:c r="U30" s="45" t="str">
        <x:v>S2, p. 2, ítem 26</x:v>
      </x:c>
      <x:c r="V30" s="45" t="str">
        <x:v>CAIMI-S2-026</x:v>
      </x:c>
    </x:row>
    <x:row r="31" ht="42" customHeight="1">
      <x:c r="A31" s="45" t="n">
        <x:v>27</x:v>
      </x:c>
      <x:c r="B31" s="45" t="str">
        <x:v>TENSIOMETRO RODANTE</x:v>
      </x:c>
      <x:c r="C31" s="45" t="str">
        <x:v>WELCH ALLYN</x:v>
      </x:c>
      <x:c r="D31" s="50" t="str">
        <x:v>LIFE TIME</x:v>
      </x:c>
      <x:c r="E31" s="50" t="str">
        <x:v>110919073200</x:v>
      </x:c>
      <x:c r="F31" s="50" t="str">
        <x:v>3431</x:v>
      </x:c>
      <x:c r="G31" s="45" t="str">
        <x:v>OBS-URG</x:v>
      </x:c>
      <x:c r="H31" s="45" t="str">
        <x:v>EQUIPO OPERATIVO EN EL SERVICIO</x:v>
      </x:c>
      <x:c r="I31" s="45" t="n">
        <x:v>2</x:v>
      </x:c>
      <x:c r="J31" s="45" t="str">
        <x:v>Operativo explícito sin incidencia pendiente consignada</x:v>
      </x:c>
      <x:c r="K31" s="45" t="str">
        <x:v>Operativo explícito sin incidencia pendiente consignada</x:v>
      </x:c>
      <x:c r="L31" s="45" t="str">
        <x:v>OBS-URG</x:v>
      </x:c>
      <x:c r="M31" s="45" t="str">
        <x:v>base</x:v>
      </x:c>
      <x:c r="N31" s="45" t="str">
        <x:v>EQUIPO OPERATIVO EN EL SERVICIO</x:v>
      </x:c>
      <x:c r="O31" s="49" t="str">
        <x:v>No indicada</x:v>
      </x:c>
      <x:c r="P31" s="50" t="str">
        <x:v>No aplica</x:v>
      </x:c>
      <x:c r="Q31" s="45" t="str">
        <x:v>No aplica</x:v>
      </x:c>
      <x:c r="R31" s="45" t="str"/>
      <x:c r="S31" s="45" t="str">
        <x:v>Mantener seguimiento preventivo institucional</x:v>
      </x:c>
      <x:c r="T31" s="45" t="str"/>
      <x:c r="U31" s="45" t="str">
        <x:v>S2, p. 2, ítem 27</x:v>
      </x:c>
      <x:c r="V31" s="45" t="str">
        <x:v>CAIMI-S2-027</x:v>
      </x:c>
    </x:row>
    <x:row r="32" ht="42" customHeight="1">
      <x:c r="A32" s="45" t="n">
        <x:v>28</x:v>
      </x:c>
      <x:c r="B32" s="45" t="str">
        <x:v>LAMPARA DE EXAMEN</x:v>
      </x:c>
      <x:c r="C32" s="45" t="str">
        <x:v>WELCH ALLYN</x:v>
      </x:c>
      <x:c r="D32" s="50" t="str">
        <x:v>LS-135</x:v>
      </x:c>
      <x:c r="E32" s="50" t="str">
        <x:v>N/R</x:v>
      </x:c>
      <x:c r="F32" s="50" t="str">
        <x:v>3470</x:v>
      </x:c>
      <x:c r="G32" s="45" t="str">
        <x:v>SALA DE PROCEDIMIENTOS</x:v>
      </x:c>
      <x:c r="H32" s="45" t="str">
        <x:v>SE REALIZA LIMPIEZA INTERNA DE ILUMINACION , FUNCIONA CORRECTAMENTE</x:v>
      </x:c>
      <x:c r="I32" s="45" t="n">
        <x:v>2</x:v>
      </x:c>
      <x:c r="J32" s="45" t="str">
        <x:v>Operativo explícito sin incidencia pendiente consignada</x:v>
      </x:c>
      <x:c r="K32" s="45" t="str">
        <x:v>Operativo explícito sin incidencia pendiente consignada</x:v>
      </x:c>
      <x:c r="L32" s="45" t="str">
        <x:v>SALA DE PROCEDIMIENTOS</x:v>
      </x:c>
      <x:c r="M32" s="45" t="str">
        <x:v>base</x:v>
      </x:c>
      <x:c r="N32" s="45" t="str">
        <x:v>SE REALIZA LIMPIEZA INTERNA DE ILUMINACION , FUNCIONA CORRECTAMENTE</x:v>
      </x:c>
      <x:c r="O32" s="49" t="str">
        <x:v>No indicada</x:v>
      </x:c>
      <x:c r="P32" s="50" t="str">
        <x:v>No aplica</x:v>
      </x:c>
      <x:c r="Q32" s="45" t="str">
        <x:v>No aplica</x:v>
      </x:c>
      <x:c r="R32" s="45" t="str"/>
      <x:c r="S32" s="45" t="str">
        <x:v>Mantener seguimiento preventivo institucional</x:v>
      </x:c>
      <x:c r="T32" s="45" t="str"/>
      <x:c r="U32" s="45" t="str">
        <x:v>S2, p. 2, ítem 28</x:v>
      </x:c>
      <x:c r="V32" s="45" t="str">
        <x:v>CAIMI-S2-028</x:v>
      </x:c>
    </x:row>
    <x:row r="33" ht="42" customHeight="1">
      <x:c r="A33" s="45" t="n">
        <x:v>29</x:v>
      </x:c>
      <x:c r="B33" s="45" t="str">
        <x:v>PESA BEBE</x:v>
      </x:c>
      <x:c r="C33" s="45" t="str">
        <x:v>SECA</x:v>
      </x:c>
      <x:c r="D33" s="50" t="str">
        <x:v>354</x:v>
      </x:c>
      <x:c r="E33" s="50" t="str">
        <x:v>8354320000000</x:v>
      </x:c>
      <x:c r="F33" s="50" t="str">
        <x:v>5827</x:v>
      </x:c>
      <x:c r="G33" s="45" t="str">
        <x:v>TRIAGE</x:v>
      </x:c>
      <x:c r="H33" s="45" t="str">
        <x:v>SE REALIZA RUTINA DE LIMPIEZA , PREBAS DE FUNCIONAMIENTO CON PATRONES, EQUIPO OPERATIVO EN EL SERVICIO</x:v>
      </x:c>
      <x:c r="I33" s="45" t="n">
        <x:v>2</x:v>
      </x:c>
      <x:c r="J33" s="45" t="str">
        <x:v>Operativo explícito sin incidencia pendiente consignada</x:v>
      </x:c>
      <x:c r="K33" s="45" t="str">
        <x:v>Operativo explícito sin incidencia pendiente consignada</x:v>
      </x:c>
      <x:c r="L33" s="45" t="str">
        <x:v>TRIAGE</x:v>
      </x:c>
      <x:c r="M33" s="45" t="str">
        <x:v>base</x:v>
      </x:c>
      <x:c r="N33" s="45" t="str">
        <x:v>SE REALIZA RUTINA DE LIMPIEZA , PREBAS DE FUNCIONAMIENTO CON PATRONES, EQUIPO OPERATIVO EN EL SERVICIO</x:v>
      </x:c>
      <x:c r="O33" s="49" t="str">
        <x:v>No indicada</x:v>
      </x:c>
      <x:c r="P33" s="50" t="str">
        <x:v>No aplica</x:v>
      </x:c>
      <x:c r="Q33" s="45" t="str">
        <x:v>No aplica</x:v>
      </x:c>
      <x:c r="R33" s="45" t="str"/>
      <x:c r="S33" s="45" t="str">
        <x:v>Mantener seguimiento preventivo institucional</x:v>
      </x:c>
      <x:c r="T33" s="45" t="str"/>
      <x:c r="U33" s="45" t="str">
        <x:v>S2, p. 2, ítem 29</x:v>
      </x:c>
      <x:c r="V33" s="45" t="str">
        <x:v>CAIMI-S2-029</x:v>
      </x:c>
    </x:row>
    <x:row r="34" ht="42" customHeight="1">
      <x:c r="A34" s="45" t="n">
        <x:v>30</x:v>
      </x:c>
      <x:c r="B34" s="45" t="str">
        <x:v>INFANTOMETRO</x:v>
      </x:c>
      <x:c r="C34" s="45" t="str">
        <x:v>SECA</x:v>
      </x:c>
      <x:c r="D34" s="50" t="str">
        <x:v>417</x:v>
      </x:c>
      <x:c r="E34" s="50" t="str">
        <x:v>N/R</x:v>
      </x:c>
      <x:c r="F34" s="50" t="str">
        <x:v>21102484</x:v>
      </x:c>
      <x:c r="G34" s="45" t="str">
        <x:v>TRIAGE</x:v>
      </x:c>
      <x:c r="H34" s="45" t="str">
        <x:v>SE REALIZA RUTINA DE LIMPIEZA , EQUIPO FUNCIONA CORRECTAMENTE</x:v>
      </x:c>
      <x:c r="I34" s="45" t="n">
        <x:v>2</x:v>
      </x:c>
      <x:c r="J34" s="45" t="str">
        <x:v>Operativo explícito sin incidencia pendiente consignada</x:v>
      </x:c>
      <x:c r="K34" s="45" t="str">
        <x:v>Operativo explícito sin incidencia pendiente consignada</x:v>
      </x:c>
      <x:c r="L34" s="45" t="str">
        <x:v>TRIAGE</x:v>
      </x:c>
      <x:c r="M34" s="45" t="str">
        <x:v>base</x:v>
      </x:c>
      <x:c r="N34" s="45" t="str">
        <x:v>SE REALIZA RUTINA DE LIMPIEZA , EQUIPO FUNCIONA CORRECTAMENTE</x:v>
      </x:c>
      <x:c r="O34" s="49" t="str">
        <x:v>No indicada</x:v>
      </x:c>
      <x:c r="P34" s="50" t="str">
        <x:v>No aplica</x:v>
      </x:c>
      <x:c r="Q34" s="45" t="str">
        <x:v>No aplica</x:v>
      </x:c>
      <x:c r="R34" s="45" t="str"/>
      <x:c r="S34" s="45" t="str">
        <x:v>Mantener seguimiento preventivo institucional</x:v>
      </x:c>
      <x:c r="T34" s="45" t="str"/>
      <x:c r="U34" s="45" t="str">
        <x:v>S2, p. 2, ítem 30</x:v>
      </x:c>
      <x:c r="V34" s="45" t="str">
        <x:v>CAIMI-S2-030</x:v>
      </x:c>
    </x:row>
    <x:row r="35" ht="42" customHeight="1">
      <x:c r="A35" s="45" t="n">
        <x:v>31</x:v>
      </x:c>
      <x:c r="B35" s="45" t="str">
        <x:v>BASCULA CON TALLIMETRO</x:v>
      </x:c>
      <x:c r="C35" s="45" t="str">
        <x:v>HEALTH O METER</x:v>
      </x:c>
      <x:c r="D35" s="50" t="str">
        <x:v>402 KL</x:v>
      </x:c>
      <x:c r="E35" s="50" t="str">
        <x:v>4020126159</x:v>
      </x:c>
      <x:c r="F35" s="50" t="str">
        <x:v>3620</x:v>
      </x:c>
      <x:c r="G35" s="45" t="str">
        <x:v>TRIAGE</x:v>
      </x:c>
      <x:c r="H35" s="45" t="str">
        <x:v>EQUIPO FUNCIONA CORRECTAMENTE, PRESENTA CORROSION EN BASE METALICA</x:v>
      </x:c>
      <x:c r="I35" s="45" t="n">
        <x:v>2</x:v>
      </x:c>
      <x:c r="J35" s="45" t="str">
        <x:v>Operativo con observaciones</x:v>
      </x:c>
      <x:c r="K35" s="45" t="str">
        <x:v>Operativo con observaciones</x:v>
      </x:c>
      <x:c r="L35" s="45" t="str">
        <x:v>TRIAGE</x:v>
      </x:c>
      <x:c r="M35" s="45" t="str">
        <x:v>base</x:v>
      </x:c>
      <x:c r="N35" s="45" t="str">
        <x:v>EQUIPO FUNCIONA CORRECTAMENTE, PRESENTA CORROSION EN BASE METALICA</x:v>
      </x:c>
      <x:c r="O35" s="49" t="str">
        <x:v>No indicada</x:v>
      </x:c>
      <x:c r="P35" s="50" t="str">
        <x:v>No aplica</x:v>
      </x:c>
      <x:c r="Q35" s="45" t="str">
        <x:v>No aplica</x:v>
      </x:c>
      <x:c r="R35" s="45" t="str"/>
      <x:c r="S35" s="45" t="str">
        <x:v>Gestionar observaciones originales y documentar verificación técnica posterior</x:v>
      </x:c>
      <x:c r="T35" s="45" t="str">
        <x:v>Intervención o verificación técnica; Corrosión / desgaste / deterioro</x:v>
      </x:c>
      <x:c r="U35" s="45" t="str">
        <x:v>S2, p. 2, ítem 31</x:v>
      </x:c>
      <x:c r="V35" s="45" t="str">
        <x:v>CAIMI-S2-031</x:v>
      </x:c>
    </x:row>
    <x:row r="36" ht="42" customHeight="1">
      <x:c r="A36" s="45" t="n">
        <x:v>32</x:v>
      </x:c>
      <x:c r="B36" s="45" t="str">
        <x:v>TALLIMETRO</x:v>
      </x:c>
      <x:c r="C36" s="45" t="str">
        <x:v>SECA</x:v>
      </x:c>
      <x:c r="D36" s="50" t="str">
        <x:v>217</x:v>
      </x:c>
      <x:c r="E36" s="50" t="str">
        <x:v>N/R</x:v>
      </x:c>
      <x:c r="F36" s="50" t="str">
        <x:v>5912</x:v>
      </x:c>
      <x:c r="G36" s="45" t="str">
        <x:v>URG-CONS.4</x:v>
      </x:c>
      <x:c r="H36" s="45" t="str">
        <x:v>SE REALIZA RUTINA DE LIMPIEZA Y AJUSTE DE COMPONENTES MECANICOS, EQUIPO OPERATIVO EN EL SERVICIO</x:v>
      </x:c>
      <x:c r="I36" s="45" t="n">
        <x:v>2</x:v>
      </x:c>
      <x:c r="J36" s="45" t="str">
        <x:v>Operativo explícito sin incidencia pendiente consignada</x:v>
      </x:c>
      <x:c r="K36" s="45" t="str">
        <x:v>Operativo explícito sin incidencia pendiente consignada</x:v>
      </x:c>
      <x:c r="L36" s="45" t="str">
        <x:v>URG-CONS.4</x:v>
      </x:c>
      <x:c r="M36" s="45" t="str">
        <x:v>base</x:v>
      </x:c>
      <x:c r="N36" s="45" t="str">
        <x:v>SE REALIZA RUTINA DE LIMPIEZA Y AJUSTE DE COMPONENTES MECANICOS, EQUIPO OPERATIVO EN EL SERVICIO</x:v>
      </x:c>
      <x:c r="O36" s="49" t="str">
        <x:v>No indicada</x:v>
      </x:c>
      <x:c r="P36" s="50" t="str">
        <x:v>No aplica</x:v>
      </x:c>
      <x:c r="Q36" s="45" t="str">
        <x:v>No aplica</x:v>
      </x:c>
      <x:c r="R36" s="45" t="str"/>
      <x:c r="S36" s="45" t="str">
        <x:v>Mantener seguimiento preventivo institucional</x:v>
      </x:c>
      <x:c r="T36" s="45" t="str"/>
      <x:c r="U36" s="45" t="str">
        <x:v>S2, p. 2, ítem 32</x:v>
      </x:c>
      <x:c r="V36" s="45" t="str">
        <x:v>CAIMI-S2-032</x:v>
      </x:c>
    </x:row>
    <x:row r="37" ht="42" customHeight="1">
      <x:c r="A37" s="45" t="n">
        <x:v>33</x:v>
      </x:c>
      <x:c r="B37" s="45" t="str">
        <x:v>BASCULA CON TALLIMETRO</x:v>
      </x:c>
      <x:c r="C37" s="45" t="str">
        <x:v>HEALTH O METER</x:v>
      </x:c>
      <x:c r="D37" s="50" t="str">
        <x:v>402 KL</x:v>
      </x:c>
      <x:c r="E37" s="50" t="str">
        <x:v>4020054451</x:v>
      </x:c>
      <x:c r="F37" s="50" t="str">
        <x:v>3515</x:v>
      </x:c>
      <x:c r="G37" s="45" t="str">
        <x:v>URG-CONS 2</x:v>
      </x:c>
      <x:c r="H37" s="45" t="str">
        <x:v>EQUIPO PRESENTA CORROSION EN BASE METALICA, CUMPLE CON PARAMETROS DE FUNCIONAMIENTO, FUNCIONA CON OBSERVACIONES</x:v>
      </x:c>
      <x:c r="I37" s="45" t="n">
        <x:v>2</x:v>
      </x:c>
      <x:c r="J37" s="45" t="str">
        <x:v>Operativo con observaciones</x:v>
      </x:c>
      <x:c r="K37" s="45" t="str">
        <x:v>Operativo con observaciones</x:v>
      </x:c>
      <x:c r="L37" s="45" t="str">
        <x:v>URG-CONS 2</x:v>
      </x:c>
      <x:c r="M37" s="45" t="str">
        <x:v>base</x:v>
      </x:c>
      <x:c r="N37" s="45" t="str">
        <x:v>EQUIPO PRESENTA CORROSION EN BASE METALICA, CUMPLE CON PARAMETROS DE FUNCIONAMIENTO, FUNCIONA CON OBSERVACIONES</x:v>
      </x:c>
      <x:c r="O37" s="49" t="str">
        <x:v>No indicada</x:v>
      </x:c>
      <x:c r="P37" s="50" t="str">
        <x:v>No aplica</x:v>
      </x:c>
      <x:c r="Q37" s="45" t="str">
        <x:v>No aplica</x:v>
      </x:c>
      <x:c r="R37" s="45" t="str"/>
      <x:c r="S37" s="45" t="str">
        <x:v>Gestionar observaciones originales y documentar verificación técnica posterior</x:v>
      </x:c>
      <x:c r="T37" s="45" t="str">
        <x:v>Intervención o verificación técnica; Corrosión / desgaste / deterioro</x:v>
      </x:c>
      <x:c r="U37" s="45" t="str">
        <x:v>S2, p. 2, ítem 33</x:v>
      </x:c>
      <x:c r="V37" s="45" t="str">
        <x:v>CAIMI-S2-033</x:v>
      </x:c>
    </x:row>
    <x:row r="38" ht="42" customHeight="1">
      <x:c r="A38" s="45" t="n">
        <x:v>34</x:v>
      </x:c>
      <x:c r="B38" s="45" t="str">
        <x:v>TALLIMETRO</x:v>
      </x:c>
      <x:c r="C38" s="45" t="str">
        <x:v>SECA</x:v>
      </x:c>
      <x:c r="D38" s="50" t="str">
        <x:v>217</x:v>
      </x:c>
      <x:c r="E38" s="50" t="str">
        <x:v>N/R</x:v>
      </x:c>
      <x:c r="F38" s="50" t="str">
        <x:v>3621</x:v>
      </x:c>
      <x:c r="G38" s="45" t="str">
        <x:v>ESTACION</x:v>
      </x:c>
      <x:c r="H38" s="45" t="str">
        <x:v>EQUIPO FUNCIONA CORRECTAMENTE , SE HACE RUTINA DE LIMPIEZA Y AJUSTE</x:v>
      </x:c>
      <x:c r="I38" s="45" t="n">
        <x:v>2</x:v>
      </x:c>
      <x:c r="J38" s="45" t="str">
        <x:v>Operativo explícito sin incidencia pendiente consignada</x:v>
      </x:c>
      <x:c r="K38" s="45" t="str">
        <x:v>Operativo explícito sin incidencia pendiente consignada</x:v>
      </x:c>
      <x:c r="L38" s="45" t="str">
        <x:v>ESTACION</x:v>
      </x:c>
      <x:c r="M38" s="45" t="str">
        <x:v>base</x:v>
      </x:c>
      <x:c r="N38" s="45" t="str">
        <x:v>EQUIPO FUNCIONA CORRECTAMENTE , SE HACE RUTINA DE LIMPIEZA Y AJUSTE</x:v>
      </x:c>
      <x:c r="O38" s="49" t="str">
        <x:v>No indicada</x:v>
      </x:c>
      <x:c r="P38" s="50" t="str">
        <x:v>No aplica</x:v>
      </x:c>
      <x:c r="Q38" s="45" t="str">
        <x:v>No aplica</x:v>
      </x:c>
      <x:c r="R38" s="45" t="str"/>
      <x:c r="S38" s="45" t="str">
        <x:v>Mantener seguimiento preventivo institucional</x:v>
      </x:c>
      <x:c r="T38" s="45" t="str"/>
      <x:c r="U38" s="45" t="str">
        <x:v>S2, p. 2, ítem 34</x:v>
      </x:c>
      <x:c r="V38" s="45" t="str">
        <x:v>CAIMI-S2-034</x:v>
      </x:c>
    </x:row>
    <x:row r="39" ht="42" customHeight="1">
      <x:c r="A39" s="45" t="n">
        <x:v>35</x:v>
      </x:c>
      <x:c r="B39" s="45" t="str">
        <x:v>MONITOR DE SIGNOS VITALES</x:v>
      </x:c>
      <x:c r="C39" s="45" t="str">
        <x:v>MINDRAY</x:v>
      </x:c>
      <x:c r="D39" s="50" t="str">
        <x:v>IMEC 8</x:v>
      </x:c>
      <x:c r="E39" s="50" t="str">
        <x:v>EW-45010394</x:v>
      </x:c>
      <x:c r="F39" s="50" t="str">
        <x:v>3533</x:v>
      </x:c>
      <x:c r="G39" s="45" t="str">
        <x:v>TRIAGE</x:v>
      </x:c>
      <x:c r="H39" s="45" t="str">
        <x:v>SE REALIZA INSTALACION DE LAS VALVULAS Y BRAZALETE , EQUPO FUNCIONA CORRECTAMENTE</x:v>
      </x:c>
      <x:c r="I39" s="45" t="n">
        <x:v>2</x:v>
      </x:c>
      <x:c r="J39" s="45" t="str">
        <x:v>Operativo explícito sin incidencia pendiente consignada</x:v>
      </x:c>
      <x:c r="K39" s="45" t="str">
        <x:v>Operativo explícito sin incidencia pendiente consignada</x:v>
      </x:c>
      <x:c r="L39" s="45" t="str">
        <x:v>TRIAGE</x:v>
      </x:c>
      <x:c r="M39" s="45" t="str">
        <x:v>base</x:v>
      </x:c>
      <x:c r="N39" s="45" t="str">
        <x:v>SE REALIZA INSTALACION DE LAS VALVULAS Y BRAZALETE , EQUPO FUNCIONA CORRECTAMENTE</x:v>
      </x:c>
      <x:c r="O39" s="49" t="str">
        <x:v>No indicada</x:v>
      </x:c>
      <x:c r="P39" s="50" t="str">
        <x:v>No aplica</x:v>
      </x:c>
      <x:c r="Q39" s="45" t="str">
        <x:v>No aplica</x:v>
      </x:c>
      <x:c r="R39" s="45" t="str"/>
      <x:c r="S39" s="45" t="str">
        <x:v>Mantener seguimiento preventivo institucional</x:v>
      </x:c>
      <x:c r="T39" s="45" t="str"/>
      <x:c r="U39" s="45" t="str">
        <x:v>S2, p. 2, ítem 35</x:v>
      </x:c>
      <x:c r="V39" s="45" t="str">
        <x:v>CAIMI-S2-035</x:v>
      </x:c>
    </x:row>
    <x:row r="40" ht="54" customHeight="1">
      <x:c r="A40" s="45" t="n">
        <x:v>36</x:v>
      </x:c>
      <x:c r="B40" s="45" t="str">
        <x:v>BASCULA DE PISO</x:v>
      </x:c>
      <x:c r="C40" s="45" t="str">
        <x:v>HEALTH O METER</x:v>
      </x:c>
      <x:c r="D40" s="50" t="str">
        <x:v>844 KL</x:v>
      </x:c>
      <x:c r="E40" s="50" t="str">
        <x:v>8440140745</x:v>
      </x:c>
      <x:c r="F40" s="50" t="str">
        <x:v>7707</x:v>
      </x:c>
      <x:c r="G40" s="45" t="str">
        <x:v>TRIAGE</x:v>
      </x:c>
      <x:c r="H40" s="45" t="str">
        <x:v>SE REALIZA CAMBIO DE BATERIA.EQUIPO CUMPLE PARAMETROS DE FUNCIONAMIENTO.PRESENTA DESGASTE HABITUAL EN ABS . FUNCIONA CON OBSERVACIONES</x:v>
      </x:c>
      <x:c r="I40" s="45" t="n">
        <x:v>2</x:v>
      </x:c>
      <x:c r="J40" s="45" t="str">
        <x:v>Operativo con observaciones</x:v>
      </x:c>
      <x:c r="K40" s="45" t="str">
        <x:v>Operativo con observaciones</x:v>
      </x:c>
      <x:c r="L40" s="45" t="str">
        <x:v>TRIAGE</x:v>
      </x:c>
      <x:c r="M40" s="45" t="str">
        <x:v>base</x:v>
      </x:c>
      <x:c r="N40" s="45" t="str">
        <x:v>SE REALIZA CAMBIO DE BATERIA.EQUIPO CUMPLE PARAMETROS DE FUNCIONAMIENTO.PRESENTA DESGASTE HABITUAL EN ABS . FUNCIONA CON OBSERVACIONES</x:v>
      </x:c>
      <x:c r="O40" s="49" t="str">
        <x:v>No indicada</x:v>
      </x:c>
      <x:c r="P40" s="50" t="str">
        <x:v>No aplica</x:v>
      </x:c>
      <x:c r="Q40" s="45" t="str">
        <x:v>No aplica</x:v>
      </x:c>
      <x:c r="R40" s="45" t="str"/>
      <x:c r="S40" s="45" t="str">
        <x:v>Gestionar observaciones originales y documentar verificación técnica posterior</x:v>
      </x:c>
      <x:c r="T40" s="45" t="str">
        <x:v>Intervención o verificación técnica; Baterías / autonomía; Corrosión / desgaste / deterioro</x:v>
      </x:c>
      <x:c r="U40" s="45" t="str">
        <x:v>S2, p. 2, ítem 36</x:v>
      </x:c>
      <x:c r="V40" s="45" t="str">
        <x:v>CAIMI-S2-036</x:v>
      </x:c>
    </x:row>
    <x:row r="41" ht="42" customHeight="1">
      <x:c r="A41" s="45" t="n">
        <x:v>37</x:v>
      </x:c>
      <x:c r="B41" s="45" t="str">
        <x:v>EQUIPO DE ORGANOS PORTATIL</x:v>
      </x:c>
      <x:c r="C41" s="45" t="str">
        <x:v>WELCH ALLYN</x:v>
      </x:c>
      <x:c r="D41" s="50" t="str">
        <x:v>13010</x:v>
      </x:c>
      <x:c r="E41" s="50" t="str">
        <x:v>N/R</x:v>
      </x:c>
      <x:c r="F41" s="50" t="str">
        <x:v>21100342</x:v>
      </x:c>
      <x:c r="G41" s="45" t="str">
        <x:v>TRIAGE</x:v>
      </x:c>
      <x:c r="H41" s="45" t="str">
        <x:v>EQUIPO OPERATIVO EN EL SERVICIO</x:v>
      </x:c>
      <x:c r="I41" s="45" t="n">
        <x:v>2</x:v>
      </x:c>
      <x:c r="J41" s="45" t="str">
        <x:v>Operativo explícito sin incidencia pendiente consignada</x:v>
      </x:c>
      <x:c r="K41" s="45" t="str">
        <x:v>Operativo explícito sin incidencia pendiente consignada</x:v>
      </x:c>
      <x:c r="L41" s="45" t="str">
        <x:v>TRIAGE</x:v>
      </x:c>
      <x:c r="M41" s="45" t="str">
        <x:v>base</x:v>
      </x:c>
      <x:c r="N41" s="45" t="str">
        <x:v>EQUIPO OPERATIVO EN EL SERVICIO</x:v>
      </x:c>
      <x:c r="O41" s="49" t="str">
        <x:v>No indicada</x:v>
      </x:c>
      <x:c r="P41" s="50" t="str">
        <x:v>No aplica</x:v>
      </x:c>
      <x:c r="Q41" s="45" t="str">
        <x:v>No aplica</x:v>
      </x:c>
      <x:c r="R41" s="45" t="str"/>
      <x:c r="S41" s="45" t="str">
        <x:v>Mantener seguimiento preventivo institucional</x:v>
      </x:c>
      <x:c r="T41" s="45" t="str"/>
      <x:c r="U41" s="45" t="str">
        <x:v>S2, p. 2, ítem 37</x:v>
      </x:c>
      <x:c r="V41" s="45" t="str">
        <x:v>CAIMI-S2-037</x:v>
      </x:c>
    </x:row>
    <x:row r="42" ht="54" customHeight="1">
      <x:c r="A42" s="45" t="n">
        <x:v>38</x:v>
      </x:c>
      <x:c r="B42" s="45" t="str">
        <x:v>PULSOXIMETRO</x:v>
      </x:c>
      <x:c r="C42" s="45" t="str">
        <x:v>EDAN</x:v>
      </x:c>
      <x:c r="D42" s="50" t="str">
        <x:v>H100B</x:v>
      </x:c>
      <x:c r="E42" s="50" t="str">
        <x:v>360101- M19807720004</x:v>
      </x:c>
      <x:c r="F42" s="50" t="str">
        <x:v>6253</x:v>
      </x:c>
      <x:c r="G42" s="45" t="str">
        <x:v>HIDRATACION</x:v>
      </x:c>
      <x:c r="H42" s="45" t="str">
        <x:v>SE REALIZA INSPECCION DEL EQUIPO PRESENTA ERROR 01 DE FALLA EN BATERIA Y EL SENSOR DE SATURACION PEDIATRICA DAÑADO. EQUIPO FUERA DE SERVICIO</x:v>
      </x:c>
      <x:c r="I42" s="45" t="n">
        <x:v>2</x:v>
      </x:c>
      <x:c r="J42" s="45" t="str">
        <x:v>Fuera de servicio explícito</x:v>
      </x:c>
      <x:c r="K42" s="45" t="str">
        <x:v>Fuera de servicio explícito</x:v>
      </x:c>
      <x:c r="L42" s="45" t="str">
        <x:v>HIDRATACION</x:v>
      </x:c>
      <x:c r="M42" s="45" t="str">
        <x:v>base</x:v>
      </x:c>
      <x:c r="N42" s="45" t="str">
        <x:v>SE REALIZA INSPECCION DEL EQUIPO PRESENTA ERROR 01 DE FALLA EN BATERIA Y EL SENSOR DE SATURACION PEDIATRICA DAÑADO. EQUIPO FUERA DE SERVICIO</x:v>
      </x:c>
      <x:c r="O42" s="49" t="str">
        <x:v>No indicada</x:v>
      </x:c>
      <x:c r="P42" s="50" t="str">
        <x:v>No aplica</x:v>
      </x:c>
      <x:c r="Q42" s="45" t="str">
        <x:v>No aplica</x:v>
      </x:c>
      <x:c r="R42" s="45" t="str"/>
      <x:c r="S42" s="45" t="str">
        <x:v>Gestionar observaciones originales y documentar verificación técnica posterior</x:v>
      </x:c>
      <x:c r="T42" s="45" t="str">
        <x:v>Intervención o verificación técnica; Baterías / autonomía</x:v>
      </x:c>
      <x:c r="U42" s="45" t="str">
        <x:v>S2, p. 2, ítem 38</x:v>
      </x:c>
      <x:c r="V42" s="45" t="str">
        <x:v>CAIMI-S2-038</x:v>
      </x:c>
    </x:row>
    <x:row r="43" ht="54" customHeight="1">
      <x:c r="A43" s="45" t="n">
        <x:v>39</x:v>
      </x:c>
      <x:c r="B43" s="45" t="str">
        <x:v>MONITOR DE SIGNOS VITALES</x:v>
      </x:c>
      <x:c r="C43" s="45" t="str">
        <x:v>NIHON KOHDEN</x:v>
      </x:c>
      <x:c r="D43" s="50" t="str">
        <x:v>PVM-2701</x:v>
      </x:c>
      <x:c r="E43" s="50" t="str">
        <x:v>107289</x:v>
      </x:c>
      <x:c r="F43" s="50" t="str">
        <x:v>3509</x:v>
      </x:c>
      <x:c r="G43" s="45" t="str">
        <x:v>AISLAMIENTO-URG</x:v>
      </x:c>
      <x:c r="H43" s="45" t="str">
        <x:v>EQUIPO FUNCIONA CORRECTAMENTE , PRESENTA CARCASA CRISTALIZADA CONFISURAS, REQUIERE BATERIAS, SE HCE RECOMENDACIO DE RENOVACION DE TECNOLOGICA. EQUIPO MODELO 2013</x:v>
      </x:c>
      <x:c r="I43" s="45" t="n">
        <x:v>2</x:v>
      </x:c>
      <x:c r="J43" s="45" t="str">
        <x:v>Operativo con observaciones</x:v>
      </x:c>
      <x:c r="K43" s="45" t="str">
        <x:v>Operativo con observaciones</x:v>
      </x:c>
      <x:c r="L43" s="45" t="str">
        <x:v>AISLAMIENTO-URG</x:v>
      </x:c>
      <x:c r="M43" s="45" t="str">
        <x:v>base</x:v>
      </x:c>
      <x:c r="N43" s="45" t="str">
        <x:v>EQUIPO FUNCIONA CORRECTAMENTE , PRESENTA CARCASA CRISTALIZADA CONFISURAS, REQUIERE BATERIAS, SE HCE RECOMENDACIO DE RENOVACION DE TECNOLOGICA. EQUIPO MODELO 2013</x:v>
      </x:c>
      <x:c r="O43" s="49" t="str">
        <x:v>No indicada</x:v>
      </x:c>
      <x:c r="P43" s="50" t="str">
        <x:v>No aplica</x:v>
      </x:c>
      <x:c r="Q43" s="45" t="str">
        <x:v>No aplica</x:v>
      </x:c>
      <x:c r="R43" s="45" t="str"/>
      <x:c r="S43" s="45" t="str">
        <x:v>Gestionar observaciones originales y documentar verificación técnica posterior</x:v>
      </x:c>
      <x:c r="T43" s="45" t="str">
        <x:v>Intervención o verificación técnica; Renovación tecnológica recomendada; Baterías / autonomía; Corrosión / desgaste / deterioro</x:v>
      </x:c>
      <x:c r="U43" s="45" t="str">
        <x:v>S2, p. 2, ítem 39</x:v>
      </x:c>
      <x:c r="V43" s="45" t="str">
        <x:v>CAIMI-S2-039</x:v>
      </x:c>
    </x:row>
    <x:row r="44" ht="54" customHeight="1">
      <x:c r="A44" s="45" t="n">
        <x:v>40</x:v>
      </x:c>
      <x:c r="B44" s="45" t="str">
        <x:v>DESFIBRILADOR</x:v>
      </x:c>
      <x:c r="C44" s="45" t="str">
        <x:v>MINDRAY</x:v>
      </x:c>
      <x:c r="D44" s="50" t="str">
        <x:v>BENEHEAR T D3</x:v>
      </x:c>
      <x:c r="E44" s="50" t="str">
        <x:v>EZ-96021608</x:v>
      </x:c>
      <x:c r="F44" s="50" t="str">
        <x:v>6220</x:v>
      </x:c>
      <x:c r="G44" s="45" t="str">
        <x:v>REANIMACION</x:v>
      </x:c>
      <x:c r="H44" s="45" t="str">
        <x:v>SE REALIZA RUTINA DE LIMPIEZA , AJUSTE DE COMPONENTES , PRUEBAS DE FUNCIONAMIENTO, EQUIPO CUMPLE CON PARAMETROS DE FUNCIONAMIENTO DE CARGA Y DESCARGA. . OPERATIVO EN EL SERVICIO</x:v>
      </x:c>
      <x:c r="I44" s="45" t="n">
        <x:v>2</x:v>
      </x:c>
      <x:c r="J44" s="45" t="str">
        <x:v>Operativo explícito sin incidencia pendiente consignada</x:v>
      </x:c>
      <x:c r="K44" s="45" t="str">
        <x:v>Operativo explícito sin incidencia pendiente consignada</x:v>
      </x:c>
      <x:c r="L44" s="45" t="str">
        <x:v>REANIMACION</x:v>
      </x:c>
      <x:c r="M44" s="45" t="str">
        <x:v>base</x:v>
      </x:c>
      <x:c r="N44" s="45" t="str">
        <x:v>SE REALIZA RUTINA DE LIMPIEZA , AJUSTE DE COMPONENTES , PRUEBAS DE FUNCIONAMIENTO, EQUIPO CUMPLE CON PARAMETROS DE FUNCIONAMIENTO DE CARGA Y DESCARGA. . OPERATIVO EN EL SERVICIO</x:v>
      </x:c>
      <x:c r="O44" s="49" t="str">
        <x:v>No indicada</x:v>
      </x:c>
      <x:c r="P44" s="50" t="str">
        <x:v>No aplica</x:v>
      </x:c>
      <x:c r="Q44" s="45" t="str">
        <x:v>No aplica</x:v>
      </x:c>
      <x:c r="R44" s="45" t="str"/>
      <x:c r="S44" s="45" t="str">
        <x:v>Mantener seguimiento preventivo institucional</x:v>
      </x:c>
      <x:c r="T44" s="45" t="str"/>
      <x:c r="U44" s="45" t="str">
        <x:v>S2, p. 2, ítem 40</x:v>
      </x:c>
      <x:c r="V44" s="45" t="str">
        <x:v>CAIMI-S2-040</x:v>
      </x:c>
    </x:row>
    <x:row r="45" ht="68" customHeight="1">
      <x:c r="A45" s="45" t="n">
        <x:v>41</x:v>
      </x:c>
      <x:c r="B45" s="45" t="str">
        <x:v>SUCCIONADOR</x:v>
      </x:c>
      <x:c r="C45" s="45" t="str">
        <x:v>THOMAS</x:v>
      </x:c>
      <x:c r="D45" s="50" t="str">
        <x:v>1130-067</x:v>
      </x:c>
      <x:c r="E45" s="50" t="str">
        <x:v>79900002352</x:v>
      </x:c>
      <x:c r="F45" s="50" t="str">
        <x:v>3404</x:v>
      </x:c>
      <x:c r="G45" s="45" t="str">
        <x:v>REANIMACION</x:v>
      </x:c>
      <x:c r="H45" s="45" t="str">
        <x:v>EQUIPO NO SE UBICO EN EL SERVICIO</x:v>
      </x:c>
      <x:c r="I45" s="45" t="n">
        <x:v>2</x:v>
      </x:c>
      <x:c r="J45" s="45" t="str">
        <x:v>No ubicado en la visita inicial</x:v>
      </x:c>
      <x:c r="K45" s="45" t="str">
        <x:v>Operativo con observaciones</x:v>
      </x:c>
      <x:c r="L45" s="45" t="str">
        <x:v>Bodega administrativa</x:v>
      </x:c>
      <x:c r="M45" s="45" t="str">
        <x:v>placa</x:v>
      </x:c>
      <x:c r="N45" s="45" t="str">
        <x:v>Funciona con observaciones; fisura en reservorio; recomienda cambiar reservorio</x:v>
      </x:c>
      <x:c r="O45" s="49" t="d">
        <x:v>2026-10-08T00:00:00.000Z</x:v>
      </x:c>
      <x:c r="P45" s="50" t="str">
        <x:v>43824</x:v>
      </x:c>
      <x:c r="Q45" s="45" t="n">
        <x:v>3</x:v>
      </x:c>
      <x:c r="R45" s="45" t="str">
        <x:v>La serie manuscrita se lee 7990002352 frente a 79900002352 del inventario; conservar diferencia, sin corregir fuente.</x:v>
      </x:c>
      <x:c r="S45" s="45" t="str">
        <x:v>Gestionar cambio de reservorio y corroborar serie</x:v>
      </x:c>
      <x:c r="T45" s="45" t="str">
        <x:v>Intervención o verificación técnica</x:v>
      </x:c>
      <x:c r="U45" s="45" t="str">
        <x:v>S1, p. 3, reporte 43824</x:v>
      </x:c>
      <x:c r="V45" s="45" t="str">
        <x:v>CAIMI-S2-041</x:v>
      </x:c>
    </x:row>
    <x:row r="46" ht="42" customHeight="1">
      <x:c r="A46" s="45" t="n">
        <x:v>42</x:v>
      </x:c>
      <x:c r="B46" s="45" t="str">
        <x:v>ELECTROCARDIOGR AFO</x:v>
      </x:c>
      <x:c r="C46" s="45" t="str">
        <x:v>EDAN</x:v>
      </x:c>
      <x:c r="D46" s="50" t="str">
        <x:v>SE-3</x:v>
      </x:c>
      <x:c r="E46" s="50" t="str">
        <x:v>309025- M14400510009</x:v>
      </x:c>
      <x:c r="F46" s="50" t="str">
        <x:v>3228</x:v>
      </x:c>
      <x:c r="G46" s="45" t="str">
        <x:v>REANIMACION</x:v>
      </x:c>
      <x:c r="H46" s="45" t="str">
        <x:v>SE INSTALA ELECTROVALVULA DE SUCCION, AJUSTE DE ARAMETROS DEL EQUIPO. EQUIPO OPERATIVO EN EL SERVICIO</x:v>
      </x:c>
      <x:c r="I46" s="45" t="n">
        <x:v>2</x:v>
      </x:c>
      <x:c r="J46" s="45" t="str">
        <x:v>Operativo explícito sin incidencia pendiente consignada</x:v>
      </x:c>
      <x:c r="K46" s="45" t="str">
        <x:v>Operativo explícito sin incidencia pendiente consignada</x:v>
      </x:c>
      <x:c r="L46" s="45" t="str">
        <x:v>REANIMACION</x:v>
      </x:c>
      <x:c r="M46" s="45" t="str">
        <x:v>base</x:v>
      </x:c>
      <x:c r="N46" s="45" t="str">
        <x:v>SE INSTALA ELECTROVALVULA DE SUCCION, AJUSTE DE ARAMETROS DEL EQUIPO. EQUIPO OPERATIVO EN EL SERVICIO</x:v>
      </x:c>
      <x:c r="O46" s="49" t="str">
        <x:v>No indicada</x:v>
      </x:c>
      <x:c r="P46" s="50" t="str">
        <x:v>No aplica</x:v>
      </x:c>
      <x:c r="Q46" s="45" t="str">
        <x:v>No aplica</x:v>
      </x:c>
      <x:c r="R46" s="45" t="str"/>
      <x:c r="S46" s="45" t="str">
        <x:v>Mantener seguimiento preventivo institucional</x:v>
      </x:c>
      <x:c r="T46" s="45" t="str"/>
      <x:c r="U46" s="45" t="str">
        <x:v>S2, p. 2, ítem 42</x:v>
      </x:c>
      <x:c r="V46" s="45" t="str">
        <x:v>CAIMI-S2-042</x:v>
      </x:c>
    </x:row>
    <x:row r="47" ht="42" customHeight="1">
      <x:c r="A47" s="45" t="n">
        <x:v>43</x:v>
      </x:c>
      <x:c r="B47" s="45" t="str">
        <x:v>LAMPARA DE EXAMEN</x:v>
      </x:c>
      <x:c r="C47" s="45" t="str">
        <x:v>WELCH ALLYN</x:v>
      </x:c>
      <x:c r="D47" s="50" t="str">
        <x:v>LS-135</x:v>
      </x:c>
      <x:c r="E47" s="50" t="str">
        <x:v>N/R</x:v>
      </x:c>
      <x:c r="F47" s="50" t="str">
        <x:v>3584</x:v>
      </x:c>
      <x:c r="G47" s="45" t="str">
        <x:v>URG-CONS.3</x:v>
      </x:c>
      <x:c r="H47" s="45" t="str">
        <x:v>EQUIPO OPERATIVO EN EL SERVICIO</x:v>
      </x:c>
      <x:c r="I47" s="45" t="n">
        <x:v>2</x:v>
      </x:c>
      <x:c r="J47" s="45" t="str">
        <x:v>Operativo explícito sin incidencia pendiente consignada</x:v>
      </x:c>
      <x:c r="K47" s="45" t="str">
        <x:v>Operativo explícito sin incidencia pendiente consignada</x:v>
      </x:c>
      <x:c r="L47" s="45" t="str">
        <x:v>URG-CONS.3</x:v>
      </x:c>
      <x:c r="M47" s="45" t="str">
        <x:v>base</x:v>
      </x:c>
      <x:c r="N47" s="45" t="str">
        <x:v>EQUIPO OPERATIVO EN EL SERVICIO</x:v>
      </x:c>
      <x:c r="O47" s="49" t="str">
        <x:v>No indicada</x:v>
      </x:c>
      <x:c r="P47" s="50" t="str">
        <x:v>No aplica</x:v>
      </x:c>
      <x:c r="Q47" s="45" t="str">
        <x:v>No aplica</x:v>
      </x:c>
      <x:c r="R47" s="45" t="str"/>
      <x:c r="S47" s="45" t="str">
        <x:v>Mantener seguimiento preventivo institucional</x:v>
      </x:c>
      <x:c r="T47" s="45" t="str"/>
      <x:c r="U47" s="45" t="str">
        <x:v>S2, p. 2, ítem 43</x:v>
      </x:c>
      <x:c r="V47" s="45" t="str">
        <x:v>CAIMI-S2-043</x:v>
      </x:c>
    </x:row>
    <x:row r="48" ht="42" customHeight="1">
      <x:c r="A48" s="45" t="n">
        <x:v>44</x:v>
      </x:c>
      <x:c r="B48" s="45" t="str">
        <x:v>EQUIPO DE ORGANOS DE PARED</x:v>
      </x:c>
      <x:c r="C48" s="45" t="str">
        <x:v>WELCH ALLYN</x:v>
      </x:c>
      <x:c r="D48" s="50" t="str">
        <x:v>767</x:v>
      </x:c>
      <x:c r="E48" s="50" t="str">
        <x:v>N/R</x:v>
      </x:c>
      <x:c r="F48" s="50" t="str">
        <x:v>3544</x:v>
      </x:c>
      <x:c r="G48" s="45" t="str">
        <x:v>URG-TRIAGE</x:v>
      </x:c>
      <x:c r="H48" s="45" t="str">
        <x:v>REQUIERE CAMBIO DE BRAZALETE DE 2 VIAS, FUNCIONA CON OBSERVACIONES</x:v>
      </x:c>
      <x:c r="I48" s="45" t="n">
        <x:v>3</x:v>
      </x:c>
      <x:c r="J48" s="45" t="str">
        <x:v>Operativo con observaciones</x:v>
      </x:c>
      <x:c r="K48" s="45" t="str">
        <x:v>Operativo con observaciones</x:v>
      </x:c>
      <x:c r="L48" s="45" t="str">
        <x:v>URG-TRIAGE</x:v>
      </x:c>
      <x:c r="M48" s="45" t="str">
        <x:v>base</x:v>
      </x:c>
      <x:c r="N48" s="45" t="str">
        <x:v>REQUIERE CAMBIO DE BRAZALETE DE 2 VIAS, FUNCIONA CON OBSERVACIONES</x:v>
      </x:c>
      <x:c r="O48" s="49" t="str">
        <x:v>No indicada</x:v>
      </x:c>
      <x:c r="P48" s="50" t="str">
        <x:v>No aplica</x:v>
      </x:c>
      <x:c r="Q48" s="45" t="str">
        <x:v>No aplica</x:v>
      </x:c>
      <x:c r="R48" s="45" t="str"/>
      <x:c r="S48" s="45" t="str">
        <x:v>Gestionar observaciones originales y documentar verificación técnica posterior</x:v>
      </x:c>
      <x:c r="T48" s="45" t="str">
        <x:v>Intervención o verificación técnica</x:v>
      </x:c>
      <x:c r="U48" s="45" t="str">
        <x:v>S2, p. 3, ítem 44</x:v>
      </x:c>
      <x:c r="V48" s="45" t="str">
        <x:v>CAIMI-S2-044</x:v>
      </x:c>
    </x:row>
    <x:row r="49" ht="42" customHeight="1">
      <x:c r="A49" s="45" t="n">
        <x:v>45</x:v>
      </x:c>
      <x:c r="B49" s="45" t="str">
        <x:v>EQUIPO DE ORGANOS DE PARED</x:v>
      </x:c>
      <x:c r="C49" s="45" t="str">
        <x:v>WELCH ALLYN</x:v>
      </x:c>
      <x:c r="D49" s="50" t="str">
        <x:v>777</x:v>
      </x:c>
      <x:c r="E49" s="50" t="str">
        <x:v>N/R</x:v>
      </x:c>
      <x:c r="F49" s="50" t="str">
        <x:v>3469</x:v>
      </x:c>
      <x:c r="G49" s="45" t="str">
        <x:v>URG-CONS.4</x:v>
      </x:c>
      <x:c r="H49" s="45" t="str">
        <x:v>CABLE ESPIRALADO DEL MANGO EN MAL ESTADO, FUNCIONA CON OBSERVACIONES</x:v>
      </x:c>
      <x:c r="I49" s="45" t="n">
        <x:v>3</x:v>
      </x:c>
      <x:c r="J49" s="45" t="str">
        <x:v>Operativo con observaciones</x:v>
      </x:c>
      <x:c r="K49" s="45" t="str">
        <x:v>Operativo con observaciones</x:v>
      </x:c>
      <x:c r="L49" s="45" t="str">
        <x:v>URG-CONS.4</x:v>
      </x:c>
      <x:c r="M49" s="45" t="str">
        <x:v>base</x:v>
      </x:c>
      <x:c r="N49" s="45" t="str">
        <x:v>CABLE ESPIRALADO DEL MANGO EN MAL ESTADO, FUNCIONA CON OBSERVACIONES</x:v>
      </x:c>
      <x:c r="O49" s="49" t="str">
        <x:v>No indicada</x:v>
      </x:c>
      <x:c r="P49" s="50" t="str">
        <x:v>No aplica</x:v>
      </x:c>
      <x:c r="Q49" s="45" t="str">
        <x:v>No aplica</x:v>
      </x:c>
      <x:c r="R49" s="45" t="str"/>
      <x:c r="S49" s="45" t="str">
        <x:v>Gestionar observaciones originales y documentar verificación técnica posterior</x:v>
      </x:c>
      <x:c r="T49" s="45" t="str">
        <x:v>Intervención o verificación técnica</x:v>
      </x:c>
      <x:c r="U49" s="45" t="str">
        <x:v>S2, p. 3, ítem 45</x:v>
      </x:c>
      <x:c r="V49" s="45" t="str">
        <x:v>CAIMI-S2-045</x:v>
      </x:c>
    </x:row>
    <x:row r="50" ht="42" customHeight="1">
      <x:c r="A50" s="45" t="n">
        <x:v>46</x:v>
      </x:c>
      <x:c r="B50" s="45" t="str">
        <x:v>TENSIOMETRO DE PARED</x:v>
      </x:c>
      <x:c r="C50" s="45" t="str">
        <x:v>WELCH ALLYN</x:v>
      </x:c>
      <x:c r="D50" s="50" t="str">
        <x:v>LIFE TIME</x:v>
      </x:c>
      <x:c r="E50" s="50" t="str">
        <x:v>120523202643</x:v>
      </x:c>
      <x:c r="F50" s="50" t="str">
        <x:v>3468</x:v>
      </x:c>
      <x:c r="G50" s="45" t="str">
        <x:v>URG-CONS.1</x:v>
      </x:c>
      <x:c r="H50" s="45" t="str">
        <x:v>EQUIPO OPERATIVO EN EL SERVICIO</x:v>
      </x:c>
      <x:c r="I50" s="45" t="n">
        <x:v>3</x:v>
      </x:c>
      <x:c r="J50" s="45" t="str">
        <x:v>Operativo explícito sin incidencia pendiente consignada</x:v>
      </x:c>
      <x:c r="K50" s="45" t="str">
        <x:v>Operativo explícito sin incidencia pendiente consignada</x:v>
      </x:c>
      <x:c r="L50" s="45" t="str">
        <x:v>URG-CONS.1</x:v>
      </x:c>
      <x:c r="M50" s="45" t="str">
        <x:v>base</x:v>
      </x:c>
      <x:c r="N50" s="45" t="str">
        <x:v>EQUIPO OPERATIVO EN EL SERVICIO</x:v>
      </x:c>
      <x:c r="O50" s="49" t="str">
        <x:v>No indicada</x:v>
      </x:c>
      <x:c r="P50" s="50" t="str">
        <x:v>No aplica</x:v>
      </x:c>
      <x:c r="Q50" s="45" t="str">
        <x:v>No aplica</x:v>
      </x:c>
      <x:c r="R50" s="45" t="str"/>
      <x:c r="S50" s="45" t="str">
        <x:v>Mantener seguimiento preventivo institucional</x:v>
      </x:c>
      <x:c r="T50" s="45" t="str"/>
      <x:c r="U50" s="45" t="str">
        <x:v>S2, p. 3, ítem 46</x:v>
      </x:c>
      <x:c r="V50" s="45" t="str">
        <x:v>CAIMI-S2-046</x:v>
      </x:c>
    </x:row>
    <x:row r="51" ht="42" customHeight="1">
      <x:c r="A51" s="45" t="n">
        <x:v>47</x:v>
      </x:c>
      <x:c r="B51" s="45" t="str">
        <x:v>TALLIMETRO</x:v>
      </x:c>
      <x:c r="C51" s="45" t="str">
        <x:v>SECA</x:v>
      </x:c>
      <x:c r="D51" s="50" t="str">
        <x:v>217</x:v>
      </x:c>
      <x:c r="E51" s="50" t="str">
        <x:v>N/R</x:v>
      </x:c>
      <x:c r="F51" s="50" t="str">
        <x:v>3549</x:v>
      </x:c>
      <x:c r="G51" s="45" t="str">
        <x:v>URG-CONS.1</x:v>
      </x:c>
      <x:c r="H51" s="45" t="str">
        <x:v>EQUIPO NO SE ENCUENTRA TOPE SUPERIOR , FUNCIONA CORRECTAMENTE CON OBSERVACIONES</x:v>
      </x:c>
      <x:c r="I51" s="45" t="n">
        <x:v>3</x:v>
      </x:c>
      <x:c r="J51" s="45" t="str">
        <x:v>Operativo con observaciones</x:v>
      </x:c>
      <x:c r="K51" s="45" t="str">
        <x:v>Operativo con observaciones</x:v>
      </x:c>
      <x:c r="L51" s="45" t="str">
        <x:v>URG-CONS.1</x:v>
      </x:c>
      <x:c r="M51" s="45" t="str">
        <x:v>base</x:v>
      </x:c>
      <x:c r="N51" s="45" t="str">
        <x:v>EQUIPO NO SE ENCUENTRA TOPE SUPERIOR , FUNCIONA CORRECTAMENTE CON OBSERVACIONES</x:v>
      </x:c>
      <x:c r="O51" s="49" t="str">
        <x:v>No indicada</x:v>
      </x:c>
      <x:c r="P51" s="50" t="str">
        <x:v>No aplica</x:v>
      </x:c>
      <x:c r="Q51" s="45" t="str">
        <x:v>No aplica</x:v>
      </x:c>
      <x:c r="R51" s="45" t="str"/>
      <x:c r="S51" s="45" t="str">
        <x:v>Gestionar observaciones originales y documentar verificación técnica posterior</x:v>
      </x:c>
      <x:c r="T51" s="45" t="str">
        <x:v>Intervención o verificación técnica</x:v>
      </x:c>
      <x:c r="U51" s="45" t="str">
        <x:v>S2, p. 3, ítem 47</x:v>
      </x:c>
      <x:c r="V51" s="45" t="str">
        <x:v>CAIMI-S2-047</x:v>
      </x:c>
    </x:row>
    <x:row r="52" ht="42" customHeight="1">
      <x:c r="A52" s="45" t="n">
        <x:v>48</x:v>
      </x:c>
      <x:c r="B52" s="45" t="str">
        <x:v>LAMPARA DE EXAMEN</x:v>
      </x:c>
      <x:c r="C52" s="45" t="str">
        <x:v>WELCH ALLYN</x:v>
      </x:c>
      <x:c r="D52" s="50" t="str">
        <x:v>LS-135</x:v>
      </x:c>
      <x:c r="E52" s="50" t="str">
        <x:v>N/R</x:v>
      </x:c>
      <x:c r="F52" s="50" t="str">
        <x:v>3545</x:v>
      </x:c>
      <x:c r="G52" s="45" t="str">
        <x:v>REANIMACION</x:v>
      </x:c>
      <x:c r="H52" s="45" t="str">
        <x:v>EQUIPO FUNCIONA CORRECTAMENTE OPERATIVO EN EL SERVICIO</x:v>
      </x:c>
      <x:c r="I52" s="45" t="n">
        <x:v>3</x:v>
      </x:c>
      <x:c r="J52" s="45" t="str">
        <x:v>Operativo explícito sin incidencia pendiente consignada</x:v>
      </x:c>
      <x:c r="K52" s="45" t="str">
        <x:v>Operativo explícito sin incidencia pendiente consignada</x:v>
      </x:c>
      <x:c r="L52" s="45" t="str">
        <x:v>REANIMACION</x:v>
      </x:c>
      <x:c r="M52" s="45" t="str">
        <x:v>base</x:v>
      </x:c>
      <x:c r="N52" s="45" t="str">
        <x:v>EQUIPO FUNCIONA CORRECTAMENTE OPERATIVO EN EL SERVICIO</x:v>
      </x:c>
      <x:c r="O52" s="49" t="str">
        <x:v>No indicada</x:v>
      </x:c>
      <x:c r="P52" s="50" t="str">
        <x:v>No aplica</x:v>
      </x:c>
      <x:c r="Q52" s="45" t="str">
        <x:v>No aplica</x:v>
      </x:c>
      <x:c r="R52" s="45" t="str"/>
      <x:c r="S52" s="45" t="str">
        <x:v>Mantener seguimiento preventivo institucional</x:v>
      </x:c>
      <x:c r="T52" s="45" t="str"/>
      <x:c r="U52" s="45" t="str">
        <x:v>S2, p. 3, ítem 48</x:v>
      </x:c>
      <x:c r="V52" s="45" t="str">
        <x:v>CAIMI-S2-048</x:v>
      </x:c>
    </x:row>
    <x:row r="53" ht="42" customHeight="1">
      <x:c r="A53" s="45" t="n">
        <x:v>49</x:v>
      </x:c>
      <x:c r="B53" s="45" t="str">
        <x:v>EQUIPO DE ORGANOS DE PARED</x:v>
      </x:c>
      <x:c r="C53" s="45" t="str">
        <x:v>WELCH ALLYN</x:v>
      </x:c>
      <x:c r="D53" s="50" t="str">
        <x:v>767</x:v>
      </x:c>
      <x:c r="E53" s="50" t="str">
        <x:v>N/R</x:v>
      </x:c>
      <x:c r="F53" s="50" t="str">
        <x:v>3626</x:v>
      </x:c>
      <x:c r="G53" s="45" t="str">
        <x:v>BODEGA</x:v>
      </x:c>
      <x:c r="H53" s="45" t="str">
        <x:v>EQUIPO OPERATIVO EN EL SERVICIO</x:v>
      </x:c>
      <x:c r="I53" s="45" t="n">
        <x:v>3</x:v>
      </x:c>
      <x:c r="J53" s="45" t="str">
        <x:v>Operativo explícito sin incidencia pendiente consignada</x:v>
      </x:c>
      <x:c r="K53" s="45" t="str">
        <x:v>Operativo explícito sin incidencia pendiente consignada</x:v>
      </x:c>
      <x:c r="L53" s="45" t="str">
        <x:v>BODEGA</x:v>
      </x:c>
      <x:c r="M53" s="45" t="str">
        <x:v>base</x:v>
      </x:c>
      <x:c r="N53" s="45" t="str">
        <x:v>EQUIPO OPERATIVO EN EL SERVICIO</x:v>
      </x:c>
      <x:c r="O53" s="49" t="str">
        <x:v>No indicada</x:v>
      </x:c>
      <x:c r="P53" s="50" t="str">
        <x:v>No aplica</x:v>
      </x:c>
      <x:c r="Q53" s="45" t="str">
        <x:v>No aplica</x:v>
      </x:c>
      <x:c r="R53" s="45" t="str"/>
      <x:c r="S53" s="45" t="str">
        <x:v>Mantener seguimiento preventivo institucional</x:v>
      </x:c>
      <x:c r="T53" s="45" t="str"/>
      <x:c r="U53" s="45" t="str">
        <x:v>S2, p. 3, ítem 49</x:v>
      </x:c>
      <x:c r="V53" s="45" t="str">
        <x:v>CAIMI-S2-049</x:v>
      </x:c>
    </x:row>
    <x:row r="54" ht="42" customHeight="1">
      <x:c r="A54" s="45" t="n">
        <x:v>50</x:v>
      </x:c>
      <x:c r="B54" s="45" t="str">
        <x:v>TALLIMETRO</x:v>
      </x:c>
      <x:c r="C54" s="45" t="str">
        <x:v>SECA</x:v>
      </x:c>
      <x:c r="D54" s="50" t="str">
        <x:v>217</x:v>
      </x:c>
      <x:c r="E54" s="50" t="str">
        <x:v>N/R</x:v>
      </x:c>
      <x:c r="F54" s="50" t="str">
        <x:v>5913</x:v>
      </x:c>
      <x:c r="G54" s="45" t="str">
        <x:v>TRIAGE</x:v>
      </x:c>
      <x:c r="H54" s="45" t="str">
        <x:v>EQUIPO OPERATIVO EN EL SERVICIO</x:v>
      </x:c>
      <x:c r="I54" s="45" t="n">
        <x:v>3</x:v>
      </x:c>
      <x:c r="J54" s="45" t="str">
        <x:v>Operativo explícito sin incidencia pendiente consignada</x:v>
      </x:c>
      <x:c r="K54" s="45" t="str">
        <x:v>Operativo explícito sin incidencia pendiente consignada</x:v>
      </x:c>
      <x:c r="L54" s="45" t="str">
        <x:v>TRIAGE</x:v>
      </x:c>
      <x:c r="M54" s="45" t="str">
        <x:v>base</x:v>
      </x:c>
      <x:c r="N54" s="45" t="str">
        <x:v>EQUIPO OPERATIVO EN EL SERVICIO</x:v>
      </x:c>
      <x:c r="O54" s="49" t="str">
        <x:v>No indicada</x:v>
      </x:c>
      <x:c r="P54" s="50" t="str">
        <x:v>No aplica</x:v>
      </x:c>
      <x:c r="Q54" s="45" t="str">
        <x:v>No aplica</x:v>
      </x:c>
      <x:c r="R54" s="45" t="str"/>
      <x:c r="S54" s="45" t="str">
        <x:v>Mantener seguimiento preventivo institucional</x:v>
      </x:c>
      <x:c r="T54" s="45" t="str"/>
      <x:c r="U54" s="45" t="str">
        <x:v>S2, p. 3, ítem 50</x:v>
      </x:c>
      <x:c r="V54" s="45" t="str">
        <x:v>CAIMI-S2-050</x:v>
      </x:c>
    </x:row>
    <x:row r="55" ht="42" customHeight="1">
      <x:c r="A55" s="45" t="n">
        <x:v>51</x:v>
      </x:c>
      <x:c r="B55" s="45" t="str">
        <x:v>TENSIOMETRO DE PARED</x:v>
      </x:c>
      <x:c r="C55" s="45" t="str">
        <x:v>WELCH ALLYN</x:v>
      </x:c>
      <x:c r="D55" s="50" t="str">
        <x:v>LIFE TIME</x:v>
      </x:c>
      <x:c r="E55" s="50" t="str">
        <x:v>80710142029</x:v>
      </x:c>
      <x:c r="F55" s="50" t="str">
        <x:v>3625</x:v>
      </x:c>
      <x:c r="G55" s="45" t="str">
        <x:v>BODEGA</x:v>
      </x:c>
      <x:c r="H55" s="45" t="str">
        <x:v>EQUIPO OPERATIVO EN EL SERVICIO</x:v>
      </x:c>
      <x:c r="I55" s="45" t="n">
        <x:v>3</x:v>
      </x:c>
      <x:c r="J55" s="45" t="str">
        <x:v>Operativo explícito sin incidencia pendiente consignada</x:v>
      </x:c>
      <x:c r="K55" s="45" t="str">
        <x:v>Operativo explícito sin incidencia pendiente consignada</x:v>
      </x:c>
      <x:c r="L55" s="45" t="str">
        <x:v>BODEGA</x:v>
      </x:c>
      <x:c r="M55" s="45" t="str">
        <x:v>base</x:v>
      </x:c>
      <x:c r="N55" s="45" t="str">
        <x:v>EQUIPO OPERATIVO EN EL SERVICIO</x:v>
      </x:c>
      <x:c r="O55" s="49" t="str">
        <x:v>No indicada</x:v>
      </x:c>
      <x:c r="P55" s="50" t="str">
        <x:v>No aplica</x:v>
      </x:c>
      <x:c r="Q55" s="45" t="str">
        <x:v>No aplica</x:v>
      </x:c>
      <x:c r="R55" s="45" t="str"/>
      <x:c r="S55" s="45" t="str">
        <x:v>Mantener seguimiento preventivo institucional</x:v>
      </x:c>
      <x:c r="T55" s="45" t="str"/>
      <x:c r="U55" s="45" t="str">
        <x:v>S2, p. 3, ítem 51</x:v>
      </x:c>
      <x:c r="V55" s="45" t="str">
        <x:v>CAIMI-S2-051</x:v>
      </x:c>
    </x:row>
    <x:row r="56" ht="42" customHeight="1">
      <x:c r="A56" s="45" t="n">
        <x:v>52</x:v>
      </x:c>
      <x:c r="B56" s="45" t="str">
        <x:v>TENSIOMETRO DE PARED</x:v>
      </x:c>
      <x:c r="C56" s="45" t="str">
        <x:v>WELCH ALLYN</x:v>
      </x:c>
      <x:c r="D56" s="50" t="str">
        <x:v>LIFE TIME</x:v>
      </x:c>
      <x:c r="E56" s="50" t="str">
        <x:v>204120933</x:v>
      </x:c>
      <x:c r="F56" s="50" t="str">
        <x:v>3567</x:v>
      </x:c>
      <x:c r="G56" s="45" t="str">
        <x:v>URG-CONS.3</x:v>
      </x:c>
      <x:c r="H56" s="45" t="str">
        <x:v>EQUIPO REQUIERE CAMBIO DE BRAZALETE Y PERA . FUNCIONA CON OBSERVACIONES</x:v>
      </x:c>
      <x:c r="I56" s="45" t="n">
        <x:v>3</x:v>
      </x:c>
      <x:c r="J56" s="45" t="str">
        <x:v>Operativo con observaciones</x:v>
      </x:c>
      <x:c r="K56" s="45" t="str">
        <x:v>Operativo con observaciones</x:v>
      </x:c>
      <x:c r="L56" s="45" t="str">
        <x:v>URG-CONS.3</x:v>
      </x:c>
      <x:c r="M56" s="45" t="str">
        <x:v>base</x:v>
      </x:c>
      <x:c r="N56" s="45" t="str">
        <x:v>EQUIPO REQUIERE CAMBIO DE BRAZALETE Y PERA . FUNCIONA CON OBSERVACIONES</x:v>
      </x:c>
      <x:c r="O56" s="49" t="str">
        <x:v>No indicada</x:v>
      </x:c>
      <x:c r="P56" s="50" t="str">
        <x:v>No aplica</x:v>
      </x:c>
      <x:c r="Q56" s="45" t="str">
        <x:v>No aplica</x:v>
      </x:c>
      <x:c r="R56" s="45" t="str"/>
      <x:c r="S56" s="45" t="str">
        <x:v>Gestionar observaciones originales y documentar verificación técnica posterior</x:v>
      </x:c>
      <x:c r="T56" s="45" t="str">
        <x:v>Intervención o verificación técnica</x:v>
      </x:c>
      <x:c r="U56" s="45" t="str">
        <x:v>S2, p. 3, ítem 52</x:v>
      </x:c>
      <x:c r="V56" s="45" t="str">
        <x:v>CAIMI-S2-052</x:v>
      </x:c>
    </x:row>
    <x:row r="57" ht="42" customHeight="1">
      <x:c r="A57" s="45" t="n">
        <x:v>53</x:v>
      </x:c>
      <x:c r="B57" s="45" t="str">
        <x:v>TALLIMETRO</x:v>
      </x:c>
      <x:c r="C57" s="45" t="str">
        <x:v>SECA</x:v>
      </x:c>
      <x:c r="D57" s="50" t="str">
        <x:v>217</x:v>
      </x:c>
      <x:c r="E57" s="50" t="str">
        <x:v>N/R</x:v>
      </x:c>
      <x:c r="F57" s="50" t="str">
        <x:v>3581</x:v>
      </x:c>
      <x:c r="G57" s="45" t="str">
        <x:v>URG-CONS.2</x:v>
      </x:c>
      <x:c r="H57" s="45" t="str">
        <x:v>EQUIPO OPERATIVO EN EL SERVICIO</x:v>
      </x:c>
      <x:c r="I57" s="45" t="n">
        <x:v>3</x:v>
      </x:c>
      <x:c r="J57" s="45" t="str">
        <x:v>Operativo explícito sin incidencia pendiente consignada</x:v>
      </x:c>
      <x:c r="K57" s="45" t="str">
        <x:v>Operativo explícito sin incidencia pendiente consignada</x:v>
      </x:c>
      <x:c r="L57" s="45" t="str">
        <x:v>URG-CONS.2</x:v>
      </x:c>
      <x:c r="M57" s="45" t="str">
        <x:v>base</x:v>
      </x:c>
      <x:c r="N57" s="45" t="str">
        <x:v>EQUIPO OPERATIVO EN EL SERVICIO</x:v>
      </x:c>
      <x:c r="O57" s="49" t="str">
        <x:v>No indicada</x:v>
      </x:c>
      <x:c r="P57" s="50" t="str">
        <x:v>No aplica</x:v>
      </x:c>
      <x:c r="Q57" s="45" t="str">
        <x:v>No aplica</x:v>
      </x:c>
      <x:c r="R57" s="45" t="str"/>
      <x:c r="S57" s="45" t="str">
        <x:v>Mantener seguimiento preventivo institucional</x:v>
      </x:c>
      <x:c r="T57" s="45" t="str"/>
      <x:c r="U57" s="45" t="str">
        <x:v>S2, p. 3, ítem 53</x:v>
      </x:c>
      <x:c r="V57" s="45" t="str">
        <x:v>CAIMI-S2-053</x:v>
      </x:c>
    </x:row>
    <x:row r="58" ht="42" customHeight="1">
      <x:c r="A58" s="45" t="n">
        <x:v>54</x:v>
      </x:c>
      <x:c r="B58" s="45" t="str">
        <x:v>LAMPARA DE EXAMEN</x:v>
      </x:c>
      <x:c r="C58" s="45" t="str">
        <x:v>WELCH ALLYN</x:v>
      </x:c>
      <x:c r="D58" s="50" t="str">
        <x:v>GS-300</x:v>
      </x:c>
      <x:c r="E58" s="50" t="str">
        <x:v>N/R</x:v>
      </x:c>
      <x:c r="F58" s="50" t="str">
        <x:v>3532</x:v>
      </x:c>
      <x:c r="G58" s="45" t="str">
        <x:v>URG-CONS 1</x:v>
      </x:c>
      <x:c r="H58" s="45" t="str">
        <x:v>EQUIPO PRESENTA DAÑO EN LUZ LED</x:v>
      </x:c>
      <x:c r="I58" s="45" t="n">
        <x:v>3</x:v>
      </x:c>
      <x:c r="J58" s="45" t="str">
        <x:v>Condición técnica por verificar</x:v>
      </x:c>
      <x:c r="K58" s="45" t="str">
        <x:v>Condición técnica por verificar</x:v>
      </x:c>
      <x:c r="L58" s="45" t="str">
        <x:v>URG-CONS 1</x:v>
      </x:c>
      <x:c r="M58" s="45" t="str">
        <x:v>base</x:v>
      </x:c>
      <x:c r="N58" s="45" t="str">
        <x:v>EQUIPO PRESENTA DAÑO EN LUZ LED</x:v>
      </x:c>
      <x:c r="O58" s="49" t="str">
        <x:v>No indicada</x:v>
      </x:c>
      <x:c r="P58" s="50" t="str">
        <x:v>No aplica</x:v>
      </x:c>
      <x:c r="Q58" s="45" t="str">
        <x:v>No aplica</x:v>
      </x:c>
      <x:c r="R58" s="45" t="str"/>
      <x:c r="S58" s="45" t="str">
        <x:v>Gestionar observaciones originales y documentar verificación técnica posterior</x:v>
      </x:c>
      <x:c r="T58" s="45" t="str">
        <x:v>Intervención o verificación técnica</x:v>
      </x:c>
      <x:c r="U58" s="45" t="str">
        <x:v>S2, p. 3, ítem 54</x:v>
      </x:c>
      <x:c r="V58" s="45" t="str">
        <x:v>CAIMI-S2-054</x:v>
      </x:c>
    </x:row>
    <x:row r="59" ht="42" customHeight="1">
      <x:c r="A59" s="45" t="n">
        <x:v>55</x:v>
      </x:c>
      <x:c r="B59" s="45" t="str">
        <x:v>TENSIOMETRO DE PARED</x:v>
      </x:c>
      <x:c r="C59" s="45" t="str">
        <x:v>WELCH ALLYN</x:v>
      </x:c>
      <x:c r="D59" s="50" t="str">
        <x:v>LIFE TIME</x:v>
      </x:c>
      <x:c r="E59" s="50" t="str">
        <x:v>120720073945</x:v>
      </x:c>
      <x:c r="F59" s="50" t="str">
        <x:v>3579</x:v>
      </x:c>
      <x:c r="G59" s="45" t="str">
        <x:v>URG-CONS.4</x:v>
      </x:c>
      <x:c r="H59" s="45" t="str">
        <x:v>EQUIPO OPERATIVO EN EL SERVICIO</x:v>
      </x:c>
      <x:c r="I59" s="45" t="n">
        <x:v>3</x:v>
      </x:c>
      <x:c r="J59" s="45" t="str">
        <x:v>Operativo explícito sin incidencia pendiente consignada</x:v>
      </x:c>
      <x:c r="K59" s="45" t="str">
        <x:v>Operativo explícito sin incidencia pendiente consignada</x:v>
      </x:c>
      <x:c r="L59" s="45" t="str">
        <x:v>URG-CONS.4</x:v>
      </x:c>
      <x:c r="M59" s="45" t="str">
        <x:v>base</x:v>
      </x:c>
      <x:c r="N59" s="45" t="str">
        <x:v>EQUIPO OPERATIVO EN EL SERVICIO</x:v>
      </x:c>
      <x:c r="O59" s="49" t="str">
        <x:v>No indicada</x:v>
      </x:c>
      <x:c r="P59" s="50" t="str">
        <x:v>No aplica</x:v>
      </x:c>
      <x:c r="Q59" s="45" t="str">
        <x:v>No aplica</x:v>
      </x:c>
      <x:c r="R59" s="45" t="str"/>
      <x:c r="S59" s="45" t="str">
        <x:v>Mantener seguimiento preventivo institucional</x:v>
      </x:c>
      <x:c r="T59" s="45" t="str"/>
      <x:c r="U59" s="45" t="str">
        <x:v>S2, p. 3, ítem 55</x:v>
      </x:c>
      <x:c r="V59" s="45" t="str">
        <x:v>CAIMI-S2-055</x:v>
      </x:c>
    </x:row>
    <x:row r="60" ht="42" customHeight="1">
      <x:c r="A60" s="45" t="n">
        <x:v>56</x:v>
      </x:c>
      <x:c r="B60" s="45" t="str">
        <x:v>MONITOR FETAL</x:v>
      </x:c>
      <x:c r="C60" s="45" t="str">
        <x:v>EDAN</x:v>
      </x:c>
      <x:c r="D60" s="50" t="str">
        <x:v>F9 EXPRESS</x:v>
      </x:c>
      <x:c r="E60" s="50" t="str">
        <x:v>560139- M14604420006</x:v>
      </x:c>
      <x:c r="F60" s="50" t="str">
        <x:v>3388</x:v>
      </x:c>
      <x:c r="G60" s="45" t="str">
        <x:v>MONITORIA FETAL</x:v>
      </x:c>
      <x:c r="H60" s="45" t="str">
        <x:v>EQUIPO OPERATIVO EN EL SERVICIO</x:v>
      </x:c>
      <x:c r="I60" s="45" t="n">
        <x:v>3</x:v>
      </x:c>
      <x:c r="J60" s="45" t="str">
        <x:v>Operativo explícito sin incidencia pendiente consignada</x:v>
      </x:c>
      <x:c r="K60" s="45" t="str">
        <x:v>Operativo explícito sin incidencia pendiente consignada</x:v>
      </x:c>
      <x:c r="L60" s="45" t="str">
        <x:v>MONITORIA FETAL</x:v>
      </x:c>
      <x:c r="M60" s="45" t="str">
        <x:v>base</x:v>
      </x:c>
      <x:c r="N60" s="45" t="str">
        <x:v>EQUIPO OPERATIVO EN EL SERVICIO</x:v>
      </x:c>
      <x:c r="O60" s="49" t="str">
        <x:v>No indicada</x:v>
      </x:c>
      <x:c r="P60" s="50" t="str">
        <x:v>No aplica</x:v>
      </x:c>
      <x:c r="Q60" s="45" t="str">
        <x:v>No aplica</x:v>
      </x:c>
      <x:c r="R60" s="45" t="str"/>
      <x:c r="S60" s="45" t="str">
        <x:v>Mantener seguimiento preventivo institucional</x:v>
      </x:c>
      <x:c r="T60" s="45" t="str"/>
      <x:c r="U60" s="45" t="str">
        <x:v>S2, p. 3, ítem 56</x:v>
      </x:c>
      <x:c r="V60" s="45" t="str">
        <x:v>CAIMI-S2-056</x:v>
      </x:c>
    </x:row>
    <x:row r="61" ht="42" customHeight="1">
      <x:c r="A61" s="45" t="n">
        <x:v>57</x:v>
      </x:c>
      <x:c r="B61" s="45" t="str">
        <x:v>NEBULIZADOR</x:v>
      </x:c>
      <x:c r="C61" s="45" t="str">
        <x:v>PULMO AIDE DEVILBISS</x:v>
      </x:c>
      <x:c r="D61" s="50" t="str">
        <x:v>5650D</x:v>
      </x:c>
      <x:c r="E61" s="50" t="str">
        <x:v>D7053621</x:v>
      </x:c>
      <x:c r="F61" s="50" t="str">
        <x:v>6364</x:v>
      </x:c>
      <x:c r="G61" s="45" t="str">
        <x:v>URG-SALA ERA</x:v>
      </x:c>
      <x:c r="H61" s="45" t="str">
        <x:v>EQUIPO FUNCIONA CORRECTAMENTE REQUIERECAMBIO DE FILTRO</x:v>
      </x:c>
      <x:c r="I61" s="45" t="n">
        <x:v>3</x:v>
      </x:c>
      <x:c r="J61" s="45" t="str">
        <x:v>Operativo con observaciones</x:v>
      </x:c>
      <x:c r="K61" s="45" t="str">
        <x:v>Operativo con observaciones</x:v>
      </x:c>
      <x:c r="L61" s="45" t="str">
        <x:v>URG-SALA ERA</x:v>
      </x:c>
      <x:c r="M61" s="45" t="str">
        <x:v>base</x:v>
      </x:c>
      <x:c r="N61" s="45" t="str">
        <x:v>EQUIPO FUNCIONA CORRECTAMENTE REQUIERECAMBIO DE FILTRO</x:v>
      </x:c>
      <x:c r="O61" s="49" t="str">
        <x:v>No indicada</x:v>
      </x:c>
      <x:c r="P61" s="50" t="str">
        <x:v>No aplica</x:v>
      </x:c>
      <x:c r="Q61" s="45" t="str">
        <x:v>No aplica</x:v>
      </x:c>
      <x:c r="R61" s="45" t="str"/>
      <x:c r="S61" s="45" t="str">
        <x:v>Gestionar observaciones originales y documentar verificación técnica posterior</x:v>
      </x:c>
      <x:c r="T61" s="45" t="str">
        <x:v>Intervención o verificación técnica</x:v>
      </x:c>
      <x:c r="U61" s="45" t="str">
        <x:v>S2, p. 3, ítem 57</x:v>
      </x:c>
      <x:c r="V61" s="45" t="str">
        <x:v>CAIMI-S2-057</x:v>
      </x:c>
    </x:row>
    <x:row r="62" ht="42" customHeight="1">
      <x:c r="A62" s="45" t="n">
        <x:v>58</x:v>
      </x:c>
      <x:c r="B62" s="45" t="str">
        <x:v>TENSIOMETRO DE PARED</x:v>
      </x:c>
      <x:c r="C62" s="45" t="str">
        <x:v>WELCH ALLYN</x:v>
      </x:c>
      <x:c r="D62" s="50" t="str">
        <x:v>LIFE TIME</x:v>
      </x:c>
      <x:c r="E62" s="50" t="str">
        <x:v>80710163636</x:v>
      </x:c>
      <x:c r="F62" s="50" t="str">
        <x:v>3543</x:v>
      </x:c>
      <x:c r="G62" s="45" t="str">
        <x:v>URG-TRIAGE</x:v>
      </x:c>
      <x:c r="H62" s="45" t="str">
        <x:v>EQUIPO REQUIERE BRAZALETE DOS VIAS. FUNCIONA CON OBSERVACIONES</x:v>
      </x:c>
      <x:c r="I62" s="45" t="n">
        <x:v>3</x:v>
      </x:c>
      <x:c r="J62" s="45" t="str">
        <x:v>Operativo con observaciones</x:v>
      </x:c>
      <x:c r="K62" s="45" t="str">
        <x:v>Operativo con observaciones</x:v>
      </x:c>
      <x:c r="L62" s="45" t="str">
        <x:v>URG-TRIAGE</x:v>
      </x:c>
      <x:c r="M62" s="45" t="str">
        <x:v>base</x:v>
      </x:c>
      <x:c r="N62" s="45" t="str">
        <x:v>EQUIPO REQUIERE BRAZALETE DOS VIAS. FUNCIONA CON OBSERVACIONES</x:v>
      </x:c>
      <x:c r="O62" s="49" t="str">
        <x:v>No indicada</x:v>
      </x:c>
      <x:c r="P62" s="50" t="str">
        <x:v>No aplica</x:v>
      </x:c>
      <x:c r="Q62" s="45" t="str">
        <x:v>No aplica</x:v>
      </x:c>
      <x:c r="R62" s="45" t="str"/>
      <x:c r="S62" s="45" t="str">
        <x:v>Gestionar observaciones originales y documentar verificación técnica posterior</x:v>
      </x:c>
      <x:c r="T62" s="45" t="str">
        <x:v>Intervención o verificación técnica</x:v>
      </x:c>
      <x:c r="U62" s="45" t="str">
        <x:v>S2, p. 3, ítem 58</x:v>
      </x:c>
      <x:c r="V62" s="45" t="str">
        <x:v>CAIMI-S2-058</x:v>
      </x:c>
    </x:row>
    <x:row r="63" ht="42" customHeight="1">
      <x:c r="A63" s="45" t="n">
        <x:v>59</x:v>
      </x:c>
      <x:c r="B63" s="45" t="str">
        <x:v>INFANTOMETRO</x:v>
      </x:c>
      <x:c r="C63" s="45" t="str">
        <x:v>SECA</x:v>
      </x:c>
      <x:c r="D63" s="50" t="str">
        <x:v>417</x:v>
      </x:c>
      <x:c r="E63" s="50" t="str">
        <x:v>N/R</x:v>
      </x:c>
      <x:c r="F63" s="50" t="str">
        <x:v>21102485</x:v>
      </x:c>
      <x:c r="G63" s="45" t="str">
        <x:v>URG-CONS.4</x:v>
      </x:c>
      <x:c r="H63" s="45" t="str">
        <x:v>EQUIPO OPERATIVO EN EL SERVICIO</x:v>
      </x:c>
      <x:c r="I63" s="45" t="n">
        <x:v>3</x:v>
      </x:c>
      <x:c r="J63" s="45" t="str">
        <x:v>Operativo explícito sin incidencia pendiente consignada</x:v>
      </x:c>
      <x:c r="K63" s="45" t="str">
        <x:v>Operativo explícito sin incidencia pendiente consignada</x:v>
      </x:c>
      <x:c r="L63" s="45" t="str">
        <x:v>URG-CONS.4</x:v>
      </x:c>
      <x:c r="M63" s="45" t="str">
        <x:v>base</x:v>
      </x:c>
      <x:c r="N63" s="45" t="str">
        <x:v>EQUIPO OPERATIVO EN EL SERVICIO</x:v>
      </x:c>
      <x:c r="O63" s="49" t="str">
        <x:v>No indicada</x:v>
      </x:c>
      <x:c r="P63" s="50" t="str">
        <x:v>No aplica</x:v>
      </x:c>
      <x:c r="Q63" s="45" t="str">
        <x:v>No aplica</x:v>
      </x:c>
      <x:c r="R63" s="45" t="str"/>
      <x:c r="S63" s="45" t="str">
        <x:v>Mantener seguimiento preventivo institucional</x:v>
      </x:c>
      <x:c r="T63" s="45" t="str"/>
      <x:c r="U63" s="45" t="str">
        <x:v>S2, p. 3, ítem 59</x:v>
      </x:c>
      <x:c r="V63" s="45" t="str">
        <x:v>CAIMI-S2-059</x:v>
      </x:c>
    </x:row>
    <x:row r="64" ht="42" customHeight="1">
      <x:c r="A64" s="45" t="n">
        <x:v>60</x:v>
      </x:c>
      <x:c r="B64" s="45" t="str">
        <x:v>TENSIOMETRO PEDIATRICO</x:v>
      </x:c>
      <x:c r="C64" s="45" t="str">
        <x:v>WELCH ALLYN</x:v>
      </x:c>
      <x:c r="D64" s="50" t="str">
        <x:v>SCHOCK RESISTANT</x:v>
      </x:c>
      <x:c r="E64" s="50" t="str">
        <x:v>180308222608</x:v>
      </x:c>
      <x:c r="F64" s="50" t="str">
        <x:v>N/R</x:v>
      </x:c>
      <x:c r="G64" s="45" t="str">
        <x:v>URG-CONS.4</x:v>
      </x:c>
      <x:c r="H64" s="45" t="str">
        <x:v>EQUIPO FUNCIONA CORRECTAMENTE</x:v>
      </x:c>
      <x:c r="I64" s="45" t="n">
        <x:v>3</x:v>
      </x:c>
      <x:c r="J64" s="45" t="str">
        <x:v>Operativo explícito sin incidencia pendiente consignada</x:v>
      </x:c>
      <x:c r="K64" s="45" t="str">
        <x:v>Operativo explícito sin incidencia pendiente consignada</x:v>
      </x:c>
      <x:c r="L64" s="45" t="str">
        <x:v>URG-CONS.4</x:v>
      </x:c>
      <x:c r="M64" s="45" t="str">
        <x:v>base</x:v>
      </x:c>
      <x:c r="N64" s="45" t="str">
        <x:v>EQUIPO FUNCIONA CORRECTAMENTE</x:v>
      </x:c>
      <x:c r="O64" s="49" t="str">
        <x:v>No indicada</x:v>
      </x:c>
      <x:c r="P64" s="50" t="str">
        <x:v>No aplica</x:v>
      </x:c>
      <x:c r="Q64" s="45" t="str">
        <x:v>No aplica</x:v>
      </x:c>
      <x:c r="R64" s="45" t="str"/>
      <x:c r="S64" s="45" t="str">
        <x:v>Mantener seguimiento preventivo institucional</x:v>
      </x:c>
      <x:c r="T64" s="45" t="str"/>
      <x:c r="U64" s="45" t="str">
        <x:v>S2, p. 3, ítem 60</x:v>
      </x:c>
      <x:c r="V64" s="45" t="str">
        <x:v>CAIMI-S2-060</x:v>
      </x:c>
    </x:row>
    <x:row r="65" ht="42" customHeight="1">
      <x:c r="A65" s="45" t="n">
        <x:v>61</x:v>
      </x:c>
      <x:c r="B65" s="45" t="str">
        <x:v>DOPPLER FETAL</x:v>
      </x:c>
      <x:c r="C65" s="45" t="str">
        <x:v>EDAN</x:v>
      </x:c>
      <x:c r="D65" s="50" t="str">
        <x:v>SONOTRAX II PRO</x:v>
      </x:c>
      <x:c r="E65" s="50" t="str">
        <x:v>560054- M11A00840023</x:v>
      </x:c>
      <x:c r="F65" s="50" t="str">
        <x:v>5484</x:v>
      </x:c>
      <x:c r="G65" s="45" t="str">
        <x:v>TRIAGE-URG</x:v>
      </x:c>
      <x:c r="H65" s="45" t="str">
        <x:v>EQUIPO OPERATIVO EN EL SERVICIO</x:v>
      </x:c>
      <x:c r="I65" s="45" t="n">
        <x:v>3</x:v>
      </x:c>
      <x:c r="J65" s="45" t="str">
        <x:v>Operativo explícito sin incidencia pendiente consignada</x:v>
      </x:c>
      <x:c r="K65" s="45" t="str">
        <x:v>Operativo explícito sin incidencia pendiente consignada</x:v>
      </x:c>
      <x:c r="L65" s="45" t="str">
        <x:v>TRIAGE-URG</x:v>
      </x:c>
      <x:c r="M65" s="45" t="str">
        <x:v>base</x:v>
      </x:c>
      <x:c r="N65" s="45" t="str">
        <x:v>EQUIPO OPERATIVO EN EL SERVICIO</x:v>
      </x:c>
      <x:c r="O65" s="49" t="str">
        <x:v>No indicada</x:v>
      </x:c>
      <x:c r="P65" s="50" t="str">
        <x:v>No aplica</x:v>
      </x:c>
      <x:c r="Q65" s="45" t="str">
        <x:v>No aplica</x:v>
      </x:c>
      <x:c r="R65" s="45" t="str"/>
      <x:c r="S65" s="45" t="str">
        <x:v>Mantener seguimiento preventivo institucional</x:v>
      </x:c>
      <x:c r="T65" s="45" t="str"/>
      <x:c r="U65" s="45" t="str">
        <x:v>S2, p. 3, ítem 61</x:v>
      </x:c>
      <x:c r="V65" s="45" t="str">
        <x:v>CAIMI-S2-061</x:v>
      </x:c>
    </x:row>
    <x:row r="66" ht="42" customHeight="1">
      <x:c r="A66" s="45" t="n">
        <x:v>62</x:v>
      </x:c>
      <x:c r="B66" s="45" t="str">
        <x:v>CAMILLA</x:v>
      </x:c>
      <x:c r="C66" s="45" t="str">
        <x:v>LOS PINOS</x:v>
      </x:c>
      <x:c r="D66" s="50" t="str">
        <x:v>C-396BV BCS V.14</x:v>
      </x:c>
      <x:c r="E66" s="50" t="str">
        <x:v>74035</x:v>
      </x:c>
      <x:c r="F66" s="50" t="str">
        <x:v>3502</x:v>
      </x:c>
      <x:c r="G66" s="45" t="str">
        <x:v>HIDRATACION</x:v>
      </x:c>
      <x:c r="H66" s="45" t="str">
        <x:v>EQUIPO PRESENTA DAÑO EN GAS SPRINT. NO SOSTIENE CAMILLA MOVIMIENTO TRENLEMBURG</x:v>
      </x:c>
      <x:c r="I66" s="45" t="n">
        <x:v>3</x:v>
      </x:c>
      <x:c r="J66" s="45" t="str">
        <x:v>Condición técnica por verificar</x:v>
      </x:c>
      <x:c r="K66" s="45" t="str">
        <x:v>Condición técnica por verificar</x:v>
      </x:c>
      <x:c r="L66" s="45" t="str">
        <x:v>HIDRATACION</x:v>
      </x:c>
      <x:c r="M66" s="45" t="str">
        <x:v>base</x:v>
      </x:c>
      <x:c r="N66" s="45" t="str">
        <x:v>EQUIPO PRESENTA DAÑO EN GAS SPRINT. NO SOSTIENE CAMILLA MOVIMIENTO TRENLEMBURG</x:v>
      </x:c>
      <x:c r="O66" s="49" t="str">
        <x:v>No indicada</x:v>
      </x:c>
      <x:c r="P66" s="50" t="str">
        <x:v>No aplica</x:v>
      </x:c>
      <x:c r="Q66" s="45" t="str">
        <x:v>No aplica</x:v>
      </x:c>
      <x:c r="R66" s="45" t="str"/>
      <x:c r="S66" s="45" t="str">
        <x:v>Gestionar observaciones originales y documentar verificación técnica posterior</x:v>
      </x:c>
      <x:c r="T66" s="45" t="str">
        <x:v>Intervención o verificación técnica</x:v>
      </x:c>
      <x:c r="U66" s="45" t="str">
        <x:v>S2, p. 3, ítem 62</x:v>
      </x:c>
      <x:c r="V66" s="45" t="str">
        <x:v>CAIMI-S2-062</x:v>
      </x:c>
    </x:row>
    <x:row r="67" ht="42" customHeight="1">
      <x:c r="A67" s="45" t="n">
        <x:v>63</x:v>
      </x:c>
      <x:c r="B67" s="45" t="str">
        <x:v>CAMILLA</x:v>
      </x:c>
      <x:c r="C67" s="45" t="str">
        <x:v>MUBI</x:v>
      </x:c>
      <x:c r="D67" s="50" t="str">
        <x:v>HYDRUX</x:v>
      </x:c>
      <x:c r="E67" s="50" t="str">
        <x:v>72620</x:v>
      </x:c>
      <x:c r="F67" s="50" t="str">
        <x:v>6718</x:v>
      </x:c>
      <x:c r="G67" s="45" t="str">
        <x:v>OBS HOMBRES</x:v>
      </x:c>
      <x:c r="H67" s="45" t="str">
        <x:v>SE AJUSTA ACTIVADOR DE ACTIVADOR DE LOS MOVIMIENTOS, LUBRICACION Y PRUEBAS DE FUNCIONAMIENTO, OPERATIVA EN EL SERVICIO</x:v>
      </x:c>
      <x:c r="I67" s="45" t="n">
        <x:v>3</x:v>
      </x:c>
      <x:c r="J67" s="45" t="str">
        <x:v>Operativo explícito sin incidencia pendiente consignada</x:v>
      </x:c>
      <x:c r="K67" s="45" t="str">
        <x:v>Operativo explícito sin incidencia pendiente consignada</x:v>
      </x:c>
      <x:c r="L67" s="45" t="str">
        <x:v>OBS HOMBRES</x:v>
      </x:c>
      <x:c r="M67" s="45" t="str">
        <x:v>base</x:v>
      </x:c>
      <x:c r="N67" s="45" t="str">
        <x:v>SE AJUSTA ACTIVADOR DE ACTIVADOR DE LOS MOVIMIENTOS, LUBRICACION Y PRUEBAS DE FUNCIONAMIENTO, OPERATIVA EN EL SERVICIO</x:v>
      </x:c>
      <x:c r="O67" s="49" t="str">
        <x:v>No indicada</x:v>
      </x:c>
      <x:c r="P67" s="50" t="str">
        <x:v>No aplica</x:v>
      </x:c>
      <x:c r="Q67" s="45" t="str">
        <x:v>No aplica</x:v>
      </x:c>
      <x:c r="R67" s="45" t="str"/>
      <x:c r="S67" s="45" t="str">
        <x:v>Mantener seguimiento preventivo institucional</x:v>
      </x:c>
      <x:c r="T67" s="45" t="str"/>
      <x:c r="U67" s="45" t="str">
        <x:v>S2, p. 3, ítem 63</x:v>
      </x:c>
      <x:c r="V67" s="45" t="str">
        <x:v>CAIMI-S2-063</x:v>
      </x:c>
    </x:row>
    <x:row r="68" ht="42" customHeight="1">
      <x:c r="A68" s="45" t="n">
        <x:v>64</x:v>
      </x:c>
      <x:c r="B68" s="45" t="str">
        <x:v>CAMILLA</x:v>
      </x:c>
      <x:c r="C68" s="45" t="str">
        <x:v>MUBI</x:v>
      </x:c>
      <x:c r="D68" s="50" t="str">
        <x:v>CIGNUX</x:v>
      </x:c>
      <x:c r="E68" s="50" t="str">
        <x:v>72570</x:v>
      </x:c>
      <x:c r="F68" s="50" t="str">
        <x:v>6717</x:v>
      </x:c>
      <x:c r="G68" s="45" t="str">
        <x:v>AISLAMIENTO-URG</x:v>
      </x:c>
      <x:c r="H68" s="45" t="str">
        <x:v>GAS SPRINT ESPALDAR , ACTIVA RETRNO PIN BLOQUEADO , NO SE DEJA SUBIR ESPALDAR .QUEDA FUNCIONANDO CON OBSERVACION</x:v>
      </x:c>
      <x:c r="I68" s="45" t="n">
        <x:v>3</x:v>
      </x:c>
      <x:c r="J68" s="45" t="str">
        <x:v>Operativo con observaciones</x:v>
      </x:c>
      <x:c r="K68" s="45" t="str">
        <x:v>Operativo con observaciones</x:v>
      </x:c>
      <x:c r="L68" s="45" t="str">
        <x:v>AISLAMIENTO-URG</x:v>
      </x:c>
      <x:c r="M68" s="45" t="str">
        <x:v>base</x:v>
      </x:c>
      <x:c r="N68" s="45" t="str">
        <x:v>GAS SPRINT ESPALDAR , ACTIVA RETRNO PIN BLOQUEADO , NO SE DEJA SUBIR ESPALDAR .QUEDA FUNCIONANDO CON OBSERVACION</x:v>
      </x:c>
      <x:c r="O68" s="49" t="str">
        <x:v>No indicada</x:v>
      </x:c>
      <x:c r="P68" s="50" t="str">
        <x:v>No aplica</x:v>
      </x:c>
      <x:c r="Q68" s="45" t="str">
        <x:v>No aplica</x:v>
      </x:c>
      <x:c r="R68" s="45" t="str"/>
      <x:c r="S68" s="45" t="str">
        <x:v>Gestionar observaciones originales y documentar verificación técnica posterior</x:v>
      </x:c>
      <x:c r="T68" s="45" t="str">
        <x:v>Intervención o verificación técnica</x:v>
      </x:c>
      <x:c r="U68" s="45" t="str">
        <x:v>S2, p. 3, ítem 64</x:v>
      </x:c>
      <x:c r="V68" s="45" t="str">
        <x:v>CAIMI-S2-064</x:v>
      </x:c>
    </x:row>
    <x:row r="69" ht="42" customHeight="1">
      <x:c r="A69" s="45" t="n">
        <x:v>65</x:v>
      </x:c>
      <x:c r="B69" s="45" t="str">
        <x:v>CAMILLA</x:v>
      </x:c>
      <x:c r="C69" s="45" t="str">
        <x:v>MUBI</x:v>
      </x:c>
      <x:c r="D69" s="50" t="str">
        <x:v>CIGNUX</x:v>
      </x:c>
      <x:c r="E69" s="50" t="str">
        <x:v>72623</x:v>
      </x:c>
      <x:c r="F69" s="50" t="str">
        <x:v>6710</x:v>
      </x:c>
      <x:c r="G69" s="45" t="str">
        <x:v>OBS HOMBRES</x:v>
      </x:c>
      <x:c r="H69" s="45" t="str">
        <x:v>EQUIPO PRESENTA DAÑO EN GAS SPRINT ESPALDAR . FUCIONA CON OBSERVACIONES</x:v>
      </x:c>
      <x:c r="I69" s="45" t="n">
        <x:v>3</x:v>
      </x:c>
      <x:c r="J69" s="45" t="str">
        <x:v>Operativo con observaciones</x:v>
      </x:c>
      <x:c r="K69" s="45" t="str">
        <x:v>Operativo con observaciones</x:v>
      </x:c>
      <x:c r="L69" s="45" t="str">
        <x:v>OBS HOMBRES</x:v>
      </x:c>
      <x:c r="M69" s="45" t="str">
        <x:v>base</x:v>
      </x:c>
      <x:c r="N69" s="45" t="str">
        <x:v>EQUIPO PRESENTA DAÑO EN GAS SPRINT ESPALDAR . FUCIONA CON OBSERVACIONES</x:v>
      </x:c>
      <x:c r="O69" s="49" t="str">
        <x:v>No indicada</x:v>
      </x:c>
      <x:c r="P69" s="50" t="str">
        <x:v>No aplica</x:v>
      </x:c>
      <x:c r="Q69" s="45" t="str">
        <x:v>No aplica</x:v>
      </x:c>
      <x:c r="R69" s="45" t="str"/>
      <x:c r="S69" s="45" t="str">
        <x:v>Gestionar observaciones originales y documentar verificación técnica posterior</x:v>
      </x:c>
      <x:c r="T69" s="45" t="str">
        <x:v>Intervención o verificación técnica</x:v>
      </x:c>
      <x:c r="U69" s="45" t="str">
        <x:v>S2, p. 3, ítem 65</x:v>
      </x:c>
      <x:c r="V69" s="45" t="str">
        <x:v>CAIMI-S2-065</x:v>
      </x:c>
    </x:row>
    <x:row r="70" ht="42" customHeight="1">
      <x:c r="A70" s="45" t="n">
        <x:v>66</x:v>
      </x:c>
      <x:c r="B70" s="45" t="str">
        <x:v>CAMILLA</x:v>
      </x:c>
      <x:c r="C70" s="45" t="str">
        <x:v>MUBI</x:v>
      </x:c>
      <x:c r="D70" s="50" t="str">
        <x:v>HYDRUX</x:v>
      </x:c>
      <x:c r="E70" s="50" t="str">
        <x:v>65953</x:v>
      </x:c>
      <x:c r="F70" s="50" t="str">
        <x:v>6298</x:v>
      </x:c>
      <x:c r="G70" s="45" t="str">
        <x:v>PROCEDIMIENTOS</x:v>
      </x:c>
      <x:c r="H70" s="45" t="str">
        <x:v>EQUIPO FUNCIONA CORRECTAMENTE TODOS SUS MOVIMIENTOS</x:v>
      </x:c>
      <x:c r="I70" s="45" t="n">
        <x:v>3</x:v>
      </x:c>
      <x:c r="J70" s="45" t="str">
        <x:v>Operativo explícito sin incidencia pendiente consignada</x:v>
      </x:c>
      <x:c r="K70" s="45" t="str">
        <x:v>Operativo explícito sin incidencia pendiente consignada</x:v>
      </x:c>
      <x:c r="L70" s="45" t="str">
        <x:v>PROCEDIMIENTOS</x:v>
      </x:c>
      <x:c r="M70" s="45" t="str">
        <x:v>base</x:v>
      </x:c>
      <x:c r="N70" s="45" t="str">
        <x:v>EQUIPO FUNCIONA CORRECTAMENTE TODOS SUS MOVIMIENTOS</x:v>
      </x:c>
      <x:c r="O70" s="49" t="str">
        <x:v>No indicada</x:v>
      </x:c>
      <x:c r="P70" s="50" t="str">
        <x:v>No aplica</x:v>
      </x:c>
      <x:c r="Q70" s="45" t="str">
        <x:v>No aplica</x:v>
      </x:c>
      <x:c r="R70" s="45" t="str"/>
      <x:c r="S70" s="45" t="str">
        <x:v>Mantener seguimiento preventivo institucional</x:v>
      </x:c>
      <x:c r="T70" s="45" t="str"/>
      <x:c r="U70" s="45" t="str">
        <x:v>S2, p. 3, ítem 66</x:v>
      </x:c>
      <x:c r="V70" s="45" t="str">
        <x:v>CAIMI-S2-066</x:v>
      </x:c>
    </x:row>
    <x:row r="71" ht="42" customHeight="1">
      <x:c r="A71" s="45" t="n">
        <x:v>67</x:v>
      </x:c>
      <x:c r="B71" s="45" t="str">
        <x:v>CAMILLA</x:v>
      </x:c>
      <x:c r="C71" s="45" t="str">
        <x:v>MUBI</x:v>
      </x:c>
      <x:c r="D71" s="50" t="str">
        <x:v>CIGNUX</x:v>
      </x:c>
      <x:c r="E71" s="50" t="str">
        <x:v>72588</x:v>
      </x:c>
      <x:c r="F71" s="50" t="str">
        <x:v>6709</x:v>
      </x:c>
      <x:c r="G71" s="45" t="str">
        <x:v>BODEGA</x:v>
      </x:c>
      <x:c r="H71" s="45" t="str">
        <x:v>EQUIPO SE TRASLADO DE SEDE , AHRA SE ENCUENTRA EN IPC</x:v>
      </x:c>
      <x:c r="I71" s="45" t="n">
        <x:v>3</x:v>
      </x:c>
      <x:c r="J71" s="45" t="str">
        <x:v>Traslado a otra sede registrado</x:v>
      </x:c>
      <x:c r="K71" s="45" t="str">
        <x:v>Traslado a otra sede registrado</x:v>
      </x:c>
      <x:c r="L71" s="45" t="str">
        <x:v>BODEGA</x:v>
      </x:c>
      <x:c r="M71" s="45" t="str">
        <x:v>base</x:v>
      </x:c>
      <x:c r="N71" s="45" t="str">
        <x:v>EQUIPO SE TRASLADO DE SEDE , AHRA SE ENCUENTRA EN IPC</x:v>
      </x:c>
      <x:c r="O71" s="49" t="str">
        <x:v>No indicada</x:v>
      </x:c>
      <x:c r="P71" s="50" t="str">
        <x:v>No aplica</x:v>
      </x:c>
      <x:c r="Q71" s="45" t="str">
        <x:v>No aplica</x:v>
      </x:c>
      <x:c r="R71" s="45" t="str"/>
      <x:c r="S71" s="45" t="str">
        <x:v>Conciliar traslado y asignación patrimonial entre sedes</x:v>
      </x:c>
      <x:c r="T71" s="45" t="str">
        <x:v>Traslado entre sedes</x:v>
      </x:c>
      <x:c r="U71" s="45" t="str">
        <x:v>S2, p. 3, ítem 67</x:v>
      </x:c>
      <x:c r="V71" s="45" t="str">
        <x:v>CAIMI-S2-067</x:v>
      </x:c>
    </x:row>
    <x:row r="72" ht="42" customHeight="1">
      <x:c r="A72" s="45" t="n">
        <x:v>68</x:v>
      </x:c>
      <x:c r="B72" s="45" t="str">
        <x:v>CAMILLA</x:v>
      </x:c>
      <x:c r="C72" s="45" t="str">
        <x:v>MUBI</x:v>
      </x:c>
      <x:c r="D72" s="50" t="str">
        <x:v>CIGNUX</x:v>
      </x:c>
      <x:c r="E72" s="50" t="str">
        <x:v>72591</x:v>
      </x:c>
      <x:c r="F72" s="50" t="str">
        <x:v>6714</x:v>
      </x:c>
      <x:c r="G72" s="45" t="str">
        <x:v>OBS HOMBRE</x:v>
      </x:c>
      <x:c r="H72" s="45" t="str">
        <x:v>EQUIPO PRESENTA CORROSION DE BASESMETALICAS , FUNCIONA ADECUADAMENTE</x:v>
      </x:c>
      <x:c r="I72" s="45" t="n">
        <x:v>4</x:v>
      </x:c>
      <x:c r="J72" s="45" t="str">
        <x:v>Operativo con observaciones</x:v>
      </x:c>
      <x:c r="K72" s="45" t="str">
        <x:v>Operativo con observaciones</x:v>
      </x:c>
      <x:c r="L72" s="45" t="str">
        <x:v>OBS HOMBRE</x:v>
      </x:c>
      <x:c r="M72" s="45" t="str">
        <x:v>base</x:v>
      </x:c>
      <x:c r="N72" s="45" t="str">
        <x:v>EQUIPO PRESENTA CORROSION DE BASESMETALICAS , FUNCIONA ADECUADAMENTE</x:v>
      </x:c>
      <x:c r="O72" s="49" t="str">
        <x:v>No indicada</x:v>
      </x:c>
      <x:c r="P72" s="50" t="str">
        <x:v>No aplica</x:v>
      </x:c>
      <x:c r="Q72" s="45" t="str">
        <x:v>No aplica</x:v>
      </x:c>
      <x:c r="R72" s="45" t="str"/>
      <x:c r="S72" s="45" t="str">
        <x:v>Gestionar observaciones originales y documentar verificación técnica posterior</x:v>
      </x:c>
      <x:c r="T72" s="45" t="str">
        <x:v>Intervención o verificación técnica; Corrosión / desgaste / deterioro</x:v>
      </x:c>
      <x:c r="U72" s="45" t="str">
        <x:v>S2, p. 4, ítem 68</x:v>
      </x:c>
      <x:c r="V72" s="45" t="str">
        <x:v>CAIMI-S2-068</x:v>
      </x:c>
    </x:row>
    <x:row r="73" ht="42" customHeight="1">
      <x:c r="A73" s="45" t="n">
        <x:v>69</x:v>
      </x:c>
      <x:c r="B73" s="45" t="str">
        <x:v>CAMILLA</x:v>
      </x:c>
      <x:c r="C73" s="45" t="str">
        <x:v>MUBI</x:v>
      </x:c>
      <x:c r="D73" s="50" t="str">
        <x:v>CIGNUX</x:v>
      </x:c>
      <x:c r="E73" s="50" t="str">
        <x:v>5406</x:v>
      </x:c>
      <x:c r="F73" s="50" t="str">
        <x:v>6716</x:v>
      </x:c>
      <x:c r="G73" s="45" t="str">
        <x:v>OBS MUJERES</x:v>
      </x:c>
      <x:c r="H73" s="45" t="str">
        <x:v>EQUIPO FUNCIONA CORRECTAMENTE</x:v>
      </x:c>
      <x:c r="I73" s="45" t="n">
        <x:v>4</x:v>
      </x:c>
      <x:c r="J73" s="45" t="str">
        <x:v>Operativo explícito sin incidencia pendiente consignada</x:v>
      </x:c>
      <x:c r="K73" s="45" t="str">
        <x:v>Operativo explícito sin incidencia pendiente consignada</x:v>
      </x:c>
      <x:c r="L73" s="45" t="str">
        <x:v>OBS MUJERES</x:v>
      </x:c>
      <x:c r="M73" s="45" t="str">
        <x:v>base</x:v>
      </x:c>
      <x:c r="N73" s="45" t="str">
        <x:v>EQUIPO FUNCIONA CORRECTAMENTE</x:v>
      </x:c>
      <x:c r="O73" s="49" t="str">
        <x:v>No indicada</x:v>
      </x:c>
      <x:c r="P73" s="50" t="str">
        <x:v>No aplica</x:v>
      </x:c>
      <x:c r="Q73" s="45" t="str">
        <x:v>No aplica</x:v>
      </x:c>
      <x:c r="R73" s="45" t="str"/>
      <x:c r="S73" s="45" t="str">
        <x:v>Mantener seguimiento preventivo institucional</x:v>
      </x:c>
      <x:c r="T73" s="45" t="str"/>
      <x:c r="U73" s="45" t="str">
        <x:v>S2, p. 4, ítem 69</x:v>
      </x:c>
      <x:c r="V73" s="45" t="str">
        <x:v>CAIMI-S2-069</x:v>
      </x:c>
    </x:row>
    <x:row r="74" ht="54" customHeight="1">
      <x:c r="A74" s="45" t="n">
        <x:v>70</x:v>
      </x:c>
      <x:c r="B74" s="45" t="str">
        <x:v>CAMILLA</x:v>
      </x:c>
      <x:c r="C74" s="45" t="str">
        <x:v>MUBI</x:v>
      </x:c>
      <x:c r="D74" s="50" t="str">
        <x:v>CIGNUX</x:v>
      </x:c>
      <x:c r="E74" s="50" t="str">
        <x:v>72631</x:v>
      </x:c>
      <x:c r="F74" s="50" t="str">
        <x:v>6707</x:v>
      </x:c>
      <x:c r="G74" s="45" t="str">
        <x:v>TOMA DE MUESTRAS ESPECIALES</x:v>
      </x:c>
      <x:c r="H74" s="45" t="str">
        <x:v>SE HABILITA TRENLEMBURG PENDIENTE CAMBIO DE PISTON ESPALDAR 400 N , PRESENTA CORROSION EN BASES METALICAS. FUNCINA CON OBSERVACION</x:v>
      </x:c>
      <x:c r="I74" s="45" t="n">
        <x:v>4</x:v>
      </x:c>
      <x:c r="J74" s="45" t="str">
        <x:v>Operativo con observaciones</x:v>
      </x:c>
      <x:c r="K74" s="45" t="str">
        <x:v>Operativo con observaciones</x:v>
      </x:c>
      <x:c r="L74" s="45" t="str">
        <x:v>TOMA DE MUESTRAS ESPECIALES</x:v>
      </x:c>
      <x:c r="M74" s="45" t="str">
        <x:v>base</x:v>
      </x:c>
      <x:c r="N74" s="45" t="str">
        <x:v>SE HABILITA TRENLEMBURG PENDIENTE CAMBIO DE PISTON ESPALDAR 400 N , PRESENTA CORROSION EN BASES METALICAS. FUNCINA CON OBSERVACION</x:v>
      </x:c>
      <x:c r="O74" s="49" t="str">
        <x:v>No indicada</x:v>
      </x:c>
      <x:c r="P74" s="50" t="str">
        <x:v>No aplica</x:v>
      </x:c>
      <x:c r="Q74" s="45" t="str">
        <x:v>No aplica</x:v>
      </x:c>
      <x:c r="R74" s="45" t="str"/>
      <x:c r="S74" s="45" t="str">
        <x:v>Gestionar observaciones originales y documentar verificación técnica posterior</x:v>
      </x:c>
      <x:c r="T74" s="45" t="str">
        <x:v>Intervención o verificación técnica; Corrosión / desgaste / deterioro</x:v>
      </x:c>
      <x:c r="U74" s="45" t="str">
        <x:v>S2, p. 4, ítem 70</x:v>
      </x:c>
      <x:c r="V74" s="45" t="str">
        <x:v>CAIMI-S2-070</x:v>
      </x:c>
    </x:row>
    <x:row r="75" ht="42" customHeight="1">
      <x:c r="A75" s="45" t="n">
        <x:v>71</x:v>
      </x:c>
      <x:c r="B75" s="45" t="str">
        <x:v>CAMILLA</x:v>
      </x:c>
      <x:c r="C75" s="45" t="str">
        <x:v>LOS PINOS</x:v>
      </x:c>
      <x:c r="D75" s="50" t="str">
        <x:v>C-396BV BCS V.14</x:v>
      </x:c>
      <x:c r="E75" s="50" t="str">
        <x:v>74019</x:v>
      </x:c>
      <x:c r="F75" s="50" t="str">
        <x:v>3596</x:v>
      </x:c>
      <x:c r="G75" s="45" t="str">
        <x:v>OBS HOMBRES</x:v>
      </x:c>
      <x:c r="H75" s="45" t="str">
        <x:v>PRESENTA CORROSION EN BASE METALICA Y EJE DEL FRENO PEDAL</x:v>
      </x:c>
      <x:c r="I75" s="45" t="n">
        <x:v>4</x:v>
      </x:c>
      <x:c r="J75" s="45" t="str">
        <x:v>Condición técnica por verificar</x:v>
      </x:c>
      <x:c r="K75" s="45" t="str">
        <x:v>Condición técnica por verificar</x:v>
      </x:c>
      <x:c r="L75" s="45" t="str">
        <x:v>OBS HOMBRES</x:v>
      </x:c>
      <x:c r="M75" s="45" t="str">
        <x:v>base</x:v>
      </x:c>
      <x:c r="N75" s="45" t="str">
        <x:v>PRESENTA CORROSION EN BASE METALICA Y EJE DEL FRENO PEDAL</x:v>
      </x:c>
      <x:c r="O75" s="49" t="str">
        <x:v>No indicada</x:v>
      </x:c>
      <x:c r="P75" s="50" t="str">
        <x:v>No aplica</x:v>
      </x:c>
      <x:c r="Q75" s="45" t="str">
        <x:v>No aplica</x:v>
      </x:c>
      <x:c r="R75" s="45" t="str"/>
      <x:c r="S75" s="45" t="str">
        <x:v>Gestionar observaciones originales y documentar verificación técnica posterior</x:v>
      </x:c>
      <x:c r="T75" s="45" t="str">
        <x:v>Intervención o verificación técnica; Corrosión / desgaste / deterioro</x:v>
      </x:c>
      <x:c r="U75" s="45" t="str">
        <x:v>S2, p. 4, ítem 71</x:v>
      </x:c>
      <x:c r="V75" s="45" t="str">
        <x:v>CAIMI-S2-071</x:v>
      </x:c>
    </x:row>
    <x:row r="76" ht="42" customHeight="1">
      <x:c r="A76" s="45" t="n">
        <x:v>72</x:v>
      </x:c>
      <x:c r="B76" s="45" t="str">
        <x:v>MONITOR DE SIGNOS VITALES</x:v>
      </x:c>
      <x:c r="C76" s="45" t="str">
        <x:v>MINDRAY</x:v>
      </x:c>
      <x:c r="D76" s="50" t="str">
        <x:v>UMEC 10</x:v>
      </x:c>
      <x:c r="E76" s="50" t="str">
        <x:v>KN-75009324</x:v>
      </x:c>
      <x:c r="F76" s="50" t="str">
        <x:v>3207</x:v>
      </x:c>
      <x:c r="G76" s="45" t="str">
        <x:v>HIDRATACION</x:v>
      </x:c>
      <x:c r="H76" s="45" t="str">
        <x:v>EQUIPO PRESENTA PANTALLA EN MAL ESTADO. SE RECOMIEND RENOVAR TECNOLOGIA , DESGASTE POR USO , FUNCIONA CON OBSERVACIONES</x:v>
      </x:c>
      <x:c r="I76" s="45" t="n">
        <x:v>4</x:v>
      </x:c>
      <x:c r="J76" s="45" t="str">
        <x:v>Operativo con observaciones</x:v>
      </x:c>
      <x:c r="K76" s="45" t="str">
        <x:v>Operativo con observaciones</x:v>
      </x:c>
      <x:c r="L76" s="45" t="str">
        <x:v>HIDRATACION</x:v>
      </x:c>
      <x:c r="M76" s="45" t="str">
        <x:v>base</x:v>
      </x:c>
      <x:c r="N76" s="45" t="str">
        <x:v>EQUIPO PRESENTA PANTALLA EN MAL ESTADO. SE RECOMIEND RENOVAR TECNOLOGIA , DESGASTE POR USO , FUNCIONA CON OBSERVACIONES</x:v>
      </x:c>
      <x:c r="O76" s="49" t="str">
        <x:v>No indicada</x:v>
      </x:c>
      <x:c r="P76" s="50" t="str">
        <x:v>No aplica</x:v>
      </x:c>
      <x:c r="Q76" s="45" t="str">
        <x:v>No aplica</x:v>
      </x:c>
      <x:c r="R76" s="45" t="str"/>
      <x:c r="S76" s="45" t="str">
        <x:v>Gestionar observaciones originales y documentar verificación técnica posterior</x:v>
      </x:c>
      <x:c r="T76" s="45" t="str">
        <x:v>Intervención o verificación técnica; Renovación tecnológica recomendada; Corrosión / desgaste / deterioro</x:v>
      </x:c>
      <x:c r="U76" s="45" t="str">
        <x:v>S2, p. 4, ítem 72</x:v>
      </x:c>
      <x:c r="V76" s="45" t="str">
        <x:v>CAIMI-S2-072</x:v>
      </x:c>
    </x:row>
    <x:row r="77" ht="42" customHeight="1">
      <x:c r="A77" s="45" t="n">
        <x:v>73</x:v>
      </x:c>
      <x:c r="B77" s="45" t="str">
        <x:v>CAMILLA</x:v>
      </x:c>
      <x:c r="C77" s="45" t="str">
        <x:v>LOS PINOS</x:v>
      </x:c>
      <x:c r="D77" s="50" t="str">
        <x:v>C-396BV BCS V.14</x:v>
      </x:c>
      <x:c r="E77" s="50" t="str">
        <x:v>76360</x:v>
      </x:c>
      <x:c r="F77" s="50" t="str">
        <x:v>3286</x:v>
      </x:c>
      <x:c r="G77" s="45" t="str">
        <x:v>AISLAMIENTO-URG</x:v>
      </x:c>
      <x:c r="H77" s="45" t="str">
        <x:v>CONTROL EN MAL ESTADO, Y CABLE DEL CONTROL . REQUIERE CONTROL NUEVO. FUNCIONA CON OBSERVACIONES</x:v>
      </x:c>
      <x:c r="I77" s="45" t="n">
        <x:v>4</x:v>
      </x:c>
      <x:c r="J77" s="45" t="str">
        <x:v>Operativo con observaciones</x:v>
      </x:c>
      <x:c r="K77" s="45" t="str">
        <x:v>Operativo con observaciones</x:v>
      </x:c>
      <x:c r="L77" s="45" t="str">
        <x:v>AISLAMIENTO-URG</x:v>
      </x:c>
      <x:c r="M77" s="45" t="str">
        <x:v>base</x:v>
      </x:c>
      <x:c r="N77" s="45" t="str">
        <x:v>CONTROL EN MAL ESTADO, Y CABLE DEL CONTROL . REQUIERE CONTROL NUEVO. FUNCIONA CON OBSERVACIONES</x:v>
      </x:c>
      <x:c r="O77" s="49" t="str">
        <x:v>No indicada</x:v>
      </x:c>
      <x:c r="P77" s="50" t="str">
        <x:v>No aplica</x:v>
      </x:c>
      <x:c r="Q77" s="45" t="str">
        <x:v>No aplica</x:v>
      </x:c>
      <x:c r="R77" s="45" t="str"/>
      <x:c r="S77" s="45" t="str">
        <x:v>Gestionar observaciones originales y documentar verificación técnica posterior</x:v>
      </x:c>
      <x:c r="T77" s="45" t="str">
        <x:v>Intervención o verificación técnica</x:v>
      </x:c>
      <x:c r="U77" s="45" t="str">
        <x:v>S2, p. 4, ítem 73</x:v>
      </x:c>
      <x:c r="V77" s="45" t="str">
        <x:v>CAIMI-S2-073</x:v>
      </x:c>
    </x:row>
    <x:row r="78" ht="42" customHeight="1">
      <x:c r="A78" s="45" t="n">
        <x:v>74</x:v>
      </x:c>
      <x:c r="B78" s="45" t="str">
        <x:v>CAMILLA</x:v>
      </x:c>
      <x:c r="C78" s="45" t="str">
        <x:v>LOS PINOS</x:v>
      </x:c>
      <x:c r="D78" s="50" t="str">
        <x:v>C-396BV BCS V.15</x:v>
      </x:c>
      <x:c r="E78" s="50" t="str">
        <x:v>74041</x:v>
      </x:c>
      <x:c r="F78" s="50" t="str">
        <x:v>3608</x:v>
      </x:c>
      <x:c r="G78" s="45" t="str">
        <x:v>PROCEDIMIENTOS</x:v>
      </x:c>
      <x:c r="H78" s="45" t="str">
        <x:v>EQUIPO PRESENTA CORROSION EN EJE DE FRENO Y BARANDAS . FUNCIONA CON OBSERVACIONES</x:v>
      </x:c>
      <x:c r="I78" s="45" t="n">
        <x:v>4</x:v>
      </x:c>
      <x:c r="J78" s="45" t="str">
        <x:v>Operativo con observaciones</x:v>
      </x:c>
      <x:c r="K78" s="45" t="str">
        <x:v>Operativo con observaciones</x:v>
      </x:c>
      <x:c r="L78" s="45" t="str">
        <x:v>PROCEDIMIENTOS</x:v>
      </x:c>
      <x:c r="M78" s="45" t="str">
        <x:v>base</x:v>
      </x:c>
      <x:c r="N78" s="45" t="str">
        <x:v>EQUIPO PRESENTA CORROSION EN EJE DE FRENO Y BARANDAS . FUNCIONA CON OBSERVACIONES</x:v>
      </x:c>
      <x:c r="O78" s="49" t="str">
        <x:v>No indicada</x:v>
      </x:c>
      <x:c r="P78" s="50" t="str">
        <x:v>No aplica</x:v>
      </x:c>
      <x:c r="Q78" s="45" t="str">
        <x:v>No aplica</x:v>
      </x:c>
      <x:c r="R78" s="45" t="str"/>
      <x:c r="S78" s="45" t="str">
        <x:v>Gestionar observaciones originales y documentar verificación técnica posterior</x:v>
      </x:c>
      <x:c r="T78" s="45" t="str">
        <x:v>Intervención o verificación técnica; Corrosión / desgaste / deterioro</x:v>
      </x:c>
      <x:c r="U78" s="45" t="str">
        <x:v>S2, p. 4, ítem 74</x:v>
      </x:c>
      <x:c r="V78" s="45" t="str">
        <x:v>CAIMI-S2-074</x:v>
      </x:c>
    </x:row>
    <x:row r="79" ht="42" customHeight="1">
      <x:c r="A79" s="45" t="n">
        <x:v>75</x:v>
      </x:c>
      <x:c r="B79" s="45" t="str">
        <x:v>CAMA ELECTRICA</x:v>
      </x:c>
      <x:c r="C79" s="45" t="str">
        <x:v>MUBI</x:v>
      </x:c>
      <x:c r="D79" s="50" t="str">
        <x:v>LYNIX</x:v>
      </x:c>
      <x:c r="E79" s="50" t="str">
        <x:v>69448</x:v>
      </x:c>
      <x:c r="F79" s="50" t="str">
        <x:v>6279</x:v>
      </x:c>
      <x:c r="G79" s="45" t="str">
        <x:v>OBS MUJERES</x:v>
      </x:c>
      <x:c r="H79" s="45" t="str">
        <x:v>EQUIPO OPERATIVO EN EL SERVICIO</x:v>
      </x:c>
      <x:c r="I79" s="45" t="n">
        <x:v>4</x:v>
      </x:c>
      <x:c r="J79" s="45" t="str">
        <x:v>Operativo explícito sin incidencia pendiente consignada</x:v>
      </x:c>
      <x:c r="K79" s="45" t="str">
        <x:v>Operativo explícito sin incidencia pendiente consignada</x:v>
      </x:c>
      <x:c r="L79" s="45" t="str">
        <x:v>OBS MUJERES</x:v>
      </x:c>
      <x:c r="M79" s="45" t="str">
        <x:v>base</x:v>
      </x:c>
      <x:c r="N79" s="45" t="str">
        <x:v>EQUIPO OPERATIVO EN EL SERVICIO</x:v>
      </x:c>
      <x:c r="O79" s="49" t="str">
        <x:v>No indicada</x:v>
      </x:c>
      <x:c r="P79" s="50" t="str">
        <x:v>No aplica</x:v>
      </x:c>
      <x:c r="Q79" s="45" t="str">
        <x:v>No aplica</x:v>
      </x:c>
      <x:c r="R79" s="45" t="str"/>
      <x:c r="S79" s="45" t="str">
        <x:v>Mantener seguimiento preventivo institucional</x:v>
      </x:c>
      <x:c r="T79" s="45" t="str"/>
      <x:c r="U79" s="45" t="str">
        <x:v>S2, p. 4, ítem 75</x:v>
      </x:c>
      <x:c r="V79" s="45" t="str">
        <x:v>CAIMI-S2-075</x:v>
      </x:c>
    </x:row>
    <x:row r="80" ht="42" customHeight="1">
      <x:c r="A80" s="45" t="n">
        <x:v>76</x:v>
      </x:c>
      <x:c r="B80" s="45" t="str">
        <x:v>CAMILLA</x:v>
      </x:c>
      <x:c r="C80" s="45" t="str">
        <x:v>LOS PINOS</x:v>
      </x:c>
      <x:c r="D80" s="50" t="str">
        <x:v>C-396BV BCS V.16</x:v>
      </x:c>
      <x:c r="E80" s="50" t="str">
        <x:v>74039</x:v>
      </x:c>
      <x:c r="F80" s="50" t="str">
        <x:v>3615</x:v>
      </x:c>
      <x:c r="G80" s="45" t="str">
        <x:v>URG-HIDRATACION</x:v>
      </x:c>
      <x:c r="H80" s="45" t="str">
        <x:v>EQUIPO OPERATIVO EN EL SERVICIO</x:v>
      </x:c>
      <x:c r="I80" s="45" t="n">
        <x:v>4</x:v>
      </x:c>
      <x:c r="J80" s="45" t="str">
        <x:v>Operativo explícito sin incidencia pendiente consignada</x:v>
      </x:c>
      <x:c r="K80" s="45" t="str">
        <x:v>Operativo explícito sin incidencia pendiente consignada</x:v>
      </x:c>
      <x:c r="L80" s="45" t="str">
        <x:v>URG-HIDRATACION</x:v>
      </x:c>
      <x:c r="M80" s="45" t="str">
        <x:v>base</x:v>
      </x:c>
      <x:c r="N80" s="45" t="str">
        <x:v>EQUIPO OPERATIVO EN EL SERVICIO</x:v>
      </x:c>
      <x:c r="O80" s="49" t="str">
        <x:v>No indicada</x:v>
      </x:c>
      <x:c r="P80" s="50" t="str">
        <x:v>No aplica</x:v>
      </x:c>
      <x:c r="Q80" s="45" t="str">
        <x:v>No aplica</x:v>
      </x:c>
      <x:c r="R80" s="45" t="str"/>
      <x:c r="S80" s="45" t="str">
        <x:v>Mantener seguimiento preventivo institucional</x:v>
      </x:c>
      <x:c r="T80" s="45" t="str"/>
      <x:c r="U80" s="45" t="str">
        <x:v>S2, p. 4, ítem 76</x:v>
      </x:c>
      <x:c r="V80" s="45" t="str">
        <x:v>CAIMI-S2-076</x:v>
      </x:c>
    </x:row>
    <x:row r="81" ht="42" customHeight="1">
      <x:c r="A81" s="45" t="n">
        <x:v>77</x:v>
      </x:c>
      <x:c r="B81" s="45" t="str">
        <x:v>CAMILLA</x:v>
      </x:c>
      <x:c r="C81" s="45" t="str">
        <x:v>LOS PINOS</x:v>
      </x:c>
      <x:c r="D81" s="50" t="str">
        <x:v>C-396BV BCS V.16</x:v>
      </x:c>
      <x:c r="E81" s="50" t="str">
        <x:v>74034</x:v>
      </x:c>
      <x:c r="F81" s="50" t="str">
        <x:v>3534</x:v>
      </x:c>
      <x:c r="G81" s="45" t="str">
        <x:v>AISLAMIENTO-URG</x:v>
      </x:c>
      <x:c r="H81" s="45" t="str">
        <x:v>PRESENTA CORROSION EN EJE DE LA PALANCA DE FRENO, FUNCIONA CON OBSERVACIONES</x:v>
      </x:c>
      <x:c r="I81" s="45" t="n">
        <x:v>4</x:v>
      </x:c>
      <x:c r="J81" s="45" t="str">
        <x:v>Operativo con observaciones</x:v>
      </x:c>
      <x:c r="K81" s="45" t="str">
        <x:v>Operativo con observaciones</x:v>
      </x:c>
      <x:c r="L81" s="45" t="str">
        <x:v>AISLAMIENTO-URG</x:v>
      </x:c>
      <x:c r="M81" s="45" t="str">
        <x:v>base</x:v>
      </x:c>
      <x:c r="N81" s="45" t="str">
        <x:v>PRESENTA CORROSION EN EJE DE LA PALANCA DE FRENO, FUNCIONA CON OBSERVACIONES</x:v>
      </x:c>
      <x:c r="O81" s="49" t="str">
        <x:v>No indicada</x:v>
      </x:c>
      <x:c r="P81" s="50" t="str">
        <x:v>No aplica</x:v>
      </x:c>
      <x:c r="Q81" s="45" t="str">
        <x:v>No aplica</x:v>
      </x:c>
      <x:c r="R81" s="45" t="str"/>
      <x:c r="S81" s="45" t="str">
        <x:v>Gestionar observaciones originales y documentar verificación técnica posterior</x:v>
      </x:c>
      <x:c r="T81" s="45" t="str">
        <x:v>Intervención o verificación técnica; Corrosión / desgaste / deterioro</x:v>
      </x:c>
      <x:c r="U81" s="45" t="str">
        <x:v>S2, p. 4, ítem 77</x:v>
      </x:c>
      <x:c r="V81" s="45" t="str">
        <x:v>CAIMI-S2-077</x:v>
      </x:c>
    </x:row>
    <x:row r="82" ht="42" customHeight="1">
      <x:c r="A82" s="45" t="n">
        <x:v>78</x:v>
      </x:c>
      <x:c r="B82" s="45" t="str">
        <x:v>CAMILLA</x:v>
      </x:c>
      <x:c r="C82" s="45" t="str">
        <x:v>LOS PINOS</x:v>
      </x:c>
      <x:c r="D82" s="50" t="str">
        <x:v>C-396BV BCS V.16</x:v>
      </x:c>
      <x:c r="E82" s="50" t="str">
        <x:v>74028</x:v>
      </x:c>
      <x:c r="F82" s="50" t="str">
        <x:v>3602</x:v>
      </x:c>
      <x:c r="G82" s="45" t="str">
        <x:v>BODEGA</x:v>
      </x:c>
      <x:c r="H82" s="45" t="str">
        <x:v>EQUIPO OPERATIVO EN EL SERVICIO</x:v>
      </x:c>
      <x:c r="I82" s="45" t="n">
        <x:v>4</x:v>
      </x:c>
      <x:c r="J82" s="45" t="str">
        <x:v>Operativo explícito sin incidencia pendiente consignada</x:v>
      </x:c>
      <x:c r="K82" s="45" t="str">
        <x:v>Operativo explícito sin incidencia pendiente consignada</x:v>
      </x:c>
      <x:c r="L82" s="45" t="str">
        <x:v>BODEGA</x:v>
      </x:c>
      <x:c r="M82" s="45" t="str">
        <x:v>base</x:v>
      </x:c>
      <x:c r="N82" s="45" t="str">
        <x:v>EQUIPO OPERATIVO EN EL SERVICIO</x:v>
      </x:c>
      <x:c r="O82" s="49" t="str">
        <x:v>No indicada</x:v>
      </x:c>
      <x:c r="P82" s="50" t="str">
        <x:v>No aplica</x:v>
      </x:c>
      <x:c r="Q82" s="45" t="str">
        <x:v>No aplica</x:v>
      </x:c>
      <x:c r="R82" s="45" t="str"/>
      <x:c r="S82" s="45" t="str">
        <x:v>Mantener seguimiento preventivo institucional</x:v>
      </x:c>
      <x:c r="T82" s="45" t="str"/>
      <x:c r="U82" s="45" t="str">
        <x:v>S2, p. 4, ítem 78</x:v>
      </x:c>
      <x:c r="V82" s="45" t="str">
        <x:v>CAIMI-S2-078</x:v>
      </x:c>
    </x:row>
    <x:row r="83" ht="42" customHeight="1">
      <x:c r="A83" s="45" t="n">
        <x:v>79</x:v>
      </x:c>
      <x:c r="B83" s="45" t="str">
        <x:v>CAMA CUNA PEDIATRICA</x:v>
      </x:c>
      <x:c r="C83" s="45" t="str">
        <x:v>LOS PINOS</x:v>
      </x:c>
      <x:c r="D83" s="50" t="str">
        <x:v>740P V11</x:v>
      </x:c>
      <x:c r="E83" s="50" t="str">
        <x:v>503367</x:v>
      </x:c>
      <x:c r="F83" s="50" t="str">
        <x:v>3922</x:v>
      </x:c>
      <x:c r="G83" s="45" t="str">
        <x:v>OBS-URGENCIAS</x:v>
      </x:c>
      <x:c r="H83" s="45" t="str">
        <x:v>EQUIPO REQUIERE CABLE AC Y CONTROL . SE REALIZA ENDEREZADO DE BARANDA.FUNCIONA CON OBSERVACIONES</x:v>
      </x:c>
      <x:c r="I83" s="45" t="n">
        <x:v>4</x:v>
      </x:c>
      <x:c r="J83" s="45" t="str">
        <x:v>Operativo con observaciones</x:v>
      </x:c>
      <x:c r="K83" s="45" t="str">
        <x:v>Operativo con observaciones</x:v>
      </x:c>
      <x:c r="L83" s="45" t="str">
        <x:v>OBS-URGENCIAS</x:v>
      </x:c>
      <x:c r="M83" s="45" t="str">
        <x:v>base</x:v>
      </x:c>
      <x:c r="N83" s="45" t="str">
        <x:v>EQUIPO REQUIERE CABLE AC Y CONTROL . SE REALIZA ENDEREZADO DE BARANDA.FUNCIONA CON OBSERVACIONES</x:v>
      </x:c>
      <x:c r="O83" s="49" t="str">
        <x:v>No indicada</x:v>
      </x:c>
      <x:c r="P83" s="50" t="str">
        <x:v>No aplica</x:v>
      </x:c>
      <x:c r="Q83" s="45" t="str">
        <x:v>No aplica</x:v>
      </x:c>
      <x:c r="R83" s="45" t="str"/>
      <x:c r="S83" s="45" t="str">
        <x:v>Gestionar observaciones originales y documentar verificación técnica posterior</x:v>
      </x:c>
      <x:c r="T83" s="45" t="str">
        <x:v>Intervención o verificación técnica</x:v>
      </x:c>
      <x:c r="U83" s="45" t="str">
        <x:v>S2, p. 4, ítem 79</x:v>
      </x:c>
      <x:c r="V83" s="45" t="str">
        <x:v>CAIMI-S2-079</x:v>
      </x:c>
    </x:row>
    <x:row r="84" ht="42" customHeight="1">
      <x:c r="A84" s="45" t="n">
        <x:v>80</x:v>
      </x:c>
      <x:c r="B84" s="45" t="str">
        <x:v>CAMA CUNA PEDIATRICA</x:v>
      </x:c>
      <x:c r="C84" s="45" t="str">
        <x:v>LOS PINOS</x:v>
      </x:c>
      <x:c r="D84" s="50" t="str">
        <x:v>740P V11</x:v>
      </x:c>
      <x:c r="E84" s="50" t="str">
        <x:v>503365</x:v>
      </x:c>
      <x:c r="F84" s="50" t="str">
        <x:v>3926</x:v>
      </x:c>
      <x:c r="G84" s="45" t="str">
        <x:v>OBS-URGENCIAS</x:v>
      </x:c>
      <x:c r="H84" s="45" t="str">
        <x:v>EQUIPO PRESENTA ABLE DE CONTROL EN MAL ESTADO. FUNCIONA CON OBSERVACIONES</x:v>
      </x:c>
      <x:c r="I84" s="45" t="n">
        <x:v>4</x:v>
      </x:c>
      <x:c r="J84" s="45" t="str">
        <x:v>Operativo con observaciones</x:v>
      </x:c>
      <x:c r="K84" s="45" t="str">
        <x:v>Operativo con observaciones</x:v>
      </x:c>
      <x:c r="L84" s="45" t="str">
        <x:v>OBS-URGENCIAS</x:v>
      </x:c>
      <x:c r="M84" s="45" t="str">
        <x:v>base</x:v>
      </x:c>
      <x:c r="N84" s="45" t="str">
        <x:v>EQUIPO PRESENTA ABLE DE CONTROL EN MAL ESTADO. FUNCIONA CON OBSERVACIONES</x:v>
      </x:c>
      <x:c r="O84" s="49" t="str">
        <x:v>No indicada</x:v>
      </x:c>
      <x:c r="P84" s="50" t="str">
        <x:v>No aplica</x:v>
      </x:c>
      <x:c r="Q84" s="45" t="str">
        <x:v>No aplica</x:v>
      </x:c>
      <x:c r="R84" s="45" t="str"/>
      <x:c r="S84" s="45" t="str">
        <x:v>Gestionar observaciones originales y documentar verificación técnica posterior</x:v>
      </x:c>
      <x:c r="T84" s="45" t="str">
        <x:v>Intervención o verificación técnica</x:v>
      </x:c>
      <x:c r="U84" s="45" t="str">
        <x:v>S2, p. 4, ítem 80</x:v>
      </x:c>
      <x:c r="V84" s="45" t="str">
        <x:v>CAIMI-S2-080</x:v>
      </x:c>
    </x:row>
    <x:row r="85" ht="42" customHeight="1">
      <x:c r="A85" s="45" t="n">
        <x:v>81</x:v>
      </x:c>
      <x:c r="B85" s="45" t="str">
        <x:v>CAMA CUNA PEDIATRICA</x:v>
      </x:c>
      <x:c r="C85" s="45" t="str">
        <x:v>LOS PINOS</x:v>
      </x:c>
      <x:c r="D85" s="50" t="str">
        <x:v>740P V11</x:v>
      </x:c>
      <x:c r="E85" s="50" t="str">
        <x:v>503366</x:v>
      </x:c>
      <x:c r="F85" s="50" t="str">
        <x:v>3925</x:v>
      </x:c>
      <x:c r="G85" s="45" t="str">
        <x:v>OBS-URGENCIAS</x:v>
      </x:c>
      <x:c r="H85" s="45" t="str">
        <x:v>EQUIPO NO TIENE CONTROL NI CABLE , SE REALIZA ENDEREZAMIENTO DE TELESCOPICA DE LA BARANDA. FUNCINA CON OBSERVACIONES</x:v>
      </x:c>
      <x:c r="I85" s="45" t="n">
        <x:v>4</x:v>
      </x:c>
      <x:c r="J85" s="45" t="str">
        <x:v>Operativo con observaciones</x:v>
      </x:c>
      <x:c r="K85" s="45" t="str">
        <x:v>Operativo con observaciones</x:v>
      </x:c>
      <x:c r="L85" s="45" t="str">
        <x:v>OBS-URGENCIAS</x:v>
      </x:c>
      <x:c r="M85" s="45" t="str">
        <x:v>base</x:v>
      </x:c>
      <x:c r="N85" s="45" t="str">
        <x:v>EQUIPO NO TIENE CONTROL NI CABLE , SE REALIZA ENDEREZAMIENTO DE TELESCOPICA DE LA BARANDA. FUNCINA CON OBSERVACIONES</x:v>
      </x:c>
      <x:c r="O85" s="49" t="str">
        <x:v>No indicada</x:v>
      </x:c>
      <x:c r="P85" s="50" t="str">
        <x:v>No aplica</x:v>
      </x:c>
      <x:c r="Q85" s="45" t="str">
        <x:v>No aplica</x:v>
      </x:c>
      <x:c r="R85" s="45" t="str"/>
      <x:c r="S85" s="45" t="str">
        <x:v>Gestionar observaciones originales y documentar verificación técnica posterior</x:v>
      </x:c>
      <x:c r="T85" s="45" t="str">
        <x:v>Intervención o verificación técnica</x:v>
      </x:c>
      <x:c r="U85" s="45" t="str">
        <x:v>S2, p. 4, ítem 81</x:v>
      </x:c>
      <x:c r="V85" s="45" t="str">
        <x:v>CAIMI-S2-081</x:v>
      </x:c>
    </x:row>
    <x:row r="86" ht="42" customHeight="1">
      <x:c r="A86" s="45" t="n">
        <x:v>82</x:v>
      </x:c>
      <x:c r="B86" s="45" t="str">
        <x:v>EQUIPO DE ORGANOS DE PARED</x:v>
      </x:c>
      <x:c r="C86" s="45" t="str">
        <x:v>WELCH ALLYN</x:v>
      </x:c>
      <x:c r="D86" s="50" t="str">
        <x:v>777</x:v>
      </x:c>
      <x:c r="E86" s="50" t="str">
        <x:v>N/R</x:v>
      </x:c>
      <x:c r="F86" s="50" t="str">
        <x:v>3580</x:v>
      </x:c>
      <x:c r="G86" s="45" t="str">
        <x:v>URG-CONS.1</x:v>
      </x:c>
      <x:c r="H86" s="45" t="str">
        <x:v>EQUIPO OPERATIVO EN EL SERVICIO</x:v>
      </x:c>
      <x:c r="I86" s="45" t="n">
        <x:v>4</x:v>
      </x:c>
      <x:c r="J86" s="45" t="str">
        <x:v>Operativo explícito sin incidencia pendiente consignada</x:v>
      </x:c>
      <x:c r="K86" s="45" t="str">
        <x:v>Operativo explícito sin incidencia pendiente consignada</x:v>
      </x:c>
      <x:c r="L86" s="45" t="str">
        <x:v>URG-CONS.1</x:v>
      </x:c>
      <x:c r="M86" s="45" t="str">
        <x:v>base</x:v>
      </x:c>
      <x:c r="N86" s="45" t="str">
        <x:v>EQUIPO OPERATIVO EN EL SERVICIO</x:v>
      </x:c>
      <x:c r="O86" s="49" t="str">
        <x:v>No indicada</x:v>
      </x:c>
      <x:c r="P86" s="50" t="str">
        <x:v>No aplica</x:v>
      </x:c>
      <x:c r="Q86" s="45" t="str">
        <x:v>No aplica</x:v>
      </x:c>
      <x:c r="R86" s="45" t="str"/>
      <x:c r="S86" s="45" t="str">
        <x:v>Mantener seguimiento preventivo institucional</x:v>
      </x:c>
      <x:c r="T86" s="45" t="str"/>
      <x:c r="U86" s="45" t="str">
        <x:v>S2, p. 4, ítem 82</x:v>
      </x:c>
      <x:c r="V86" s="45" t="str">
        <x:v>CAIMI-S2-082</x:v>
      </x:c>
    </x:row>
    <x:row r="87" ht="42" customHeight="1">
      <x:c r="A87" s="45" t="n">
        <x:v>83</x:v>
      </x:c>
      <x:c r="B87" s="45" t="str">
        <x:v>CAMILLA</x:v>
      </x:c>
      <x:c r="C87" s="45" t="str">
        <x:v>LOS PINOS</x:v>
      </x:c>
      <x:c r="D87" s="50" t="str">
        <x:v>C-396BV BCS V.16</x:v>
      </x:c>
      <x:c r="E87" s="50" t="str">
        <x:v>76365</x:v>
      </x:c>
      <x:c r="F87" s="50" t="str">
        <x:v>3274</x:v>
      </x:c>
      <x:c r="G87" s="45" t="str">
        <x:v>OBS-URG</x:v>
      </x:c>
      <x:c r="H87" s="45" t="str">
        <x:v>FUNCIONAL LOS MOVIMIENTOS MECANICOS , NO TIENE CONTROL NI CABLE AC</x:v>
      </x:c>
      <x:c r="I87" s="45" t="n">
        <x:v>4</x:v>
      </x:c>
      <x:c r="J87" s="45" t="str">
        <x:v>Operativo con observaciones</x:v>
      </x:c>
      <x:c r="K87" s="45" t="str">
        <x:v>Operativo con observaciones</x:v>
      </x:c>
      <x:c r="L87" s="45" t="str">
        <x:v>OBS-URG</x:v>
      </x:c>
      <x:c r="M87" s="45" t="str">
        <x:v>base</x:v>
      </x:c>
      <x:c r="N87" s="45" t="str">
        <x:v>FUNCIONAL LOS MOVIMIENTOS MECANICOS , NO TIENE CONTROL NI CABLE AC</x:v>
      </x:c>
      <x:c r="O87" s="49" t="str">
        <x:v>No indicada</x:v>
      </x:c>
      <x:c r="P87" s="50" t="str">
        <x:v>No aplica</x:v>
      </x:c>
      <x:c r="Q87" s="45" t="str">
        <x:v>No aplica</x:v>
      </x:c>
      <x:c r="R87" s="45" t="str"/>
      <x:c r="S87" s="45" t="str">
        <x:v>Gestionar observaciones originales y documentar verificación técnica posterior</x:v>
      </x:c>
      <x:c r="T87" s="45" t="str">
        <x:v>Intervención o verificación técnica</x:v>
      </x:c>
      <x:c r="U87" s="45" t="str">
        <x:v>S2, p. 4, ítem 83</x:v>
      </x:c>
      <x:c r="V87" s="45" t="str">
        <x:v>CAIMI-S2-083</x:v>
      </x:c>
    </x:row>
    <x:row r="88" ht="42" customHeight="1">
      <x:c r="A88" s="45" t="n">
        <x:v>84</x:v>
      </x:c>
      <x:c r="B88" s="45" t="str">
        <x:v>EQUIPO DE ORGANOS DE PARED</x:v>
      </x:c>
      <x:c r="C88" s="45" t="str">
        <x:v>WELCH ALLYN</x:v>
      </x:c>
      <x:c r="D88" s="50" t="str">
        <x:v>767</x:v>
      </x:c>
      <x:c r="E88" s="50" t="str">
        <x:v>N/R</x:v>
      </x:c>
      <x:c r="F88" s="50" t="str">
        <x:v>3568</x:v>
      </x:c>
      <x:c r="G88" s="45" t="str">
        <x:v>URG-CONS.3</x:v>
      </x:c>
      <x:c r="H88" s="45" t="str">
        <x:v>EQUIPO OPERATIVO EN EL SERVICIO</x:v>
      </x:c>
      <x:c r="I88" s="45" t="n">
        <x:v>4</x:v>
      </x:c>
      <x:c r="J88" s="45" t="str">
        <x:v>Operativo explícito sin incidencia pendiente consignada</x:v>
      </x:c>
      <x:c r="K88" s="45" t="str">
        <x:v>Operativo explícito sin incidencia pendiente consignada</x:v>
      </x:c>
      <x:c r="L88" s="45" t="str">
        <x:v>URG-CONS.3</x:v>
      </x:c>
      <x:c r="M88" s="45" t="str">
        <x:v>base</x:v>
      </x:c>
      <x:c r="N88" s="45" t="str">
        <x:v>EQUIPO OPERATIVO EN EL SERVICIO</x:v>
      </x:c>
      <x:c r="O88" s="49" t="str">
        <x:v>No indicada</x:v>
      </x:c>
      <x:c r="P88" s="50" t="str">
        <x:v>No aplica</x:v>
      </x:c>
      <x:c r="Q88" s="45" t="str">
        <x:v>No aplica</x:v>
      </x:c>
      <x:c r="R88" s="45" t="str"/>
      <x:c r="S88" s="45" t="str">
        <x:v>Mantener seguimiento preventivo institucional</x:v>
      </x:c>
      <x:c r="T88" s="45" t="str"/>
      <x:c r="U88" s="45" t="str">
        <x:v>S2, p. 4, ítem 84</x:v>
      </x:c>
      <x:c r="V88" s="45" t="str">
        <x:v>CAIMI-S2-084</x:v>
      </x:c>
    </x:row>
    <x:row r="89" ht="54" customHeight="1">
      <x:c r="A89" s="45" t="n">
        <x:v>85</x:v>
      </x:c>
      <x:c r="B89" s="45" t="str">
        <x:v>CAMA ELECTRICA</x:v>
      </x:c>
      <x:c r="C89" s="45" t="str">
        <x:v>LOS PINOS</x:v>
      </x:c>
      <x:c r="D89" s="50" t="str">
        <x:v>740 LV01.08</x:v>
      </x:c>
      <x:c r="E89" s="50" t="str">
        <x:v>503352</x:v>
      </x:c>
      <x:c r="F89" s="50" t="str">
        <x:v>N/R</x:v>
      </x:c>
      <x:c r="G89" s="45" t="str">
        <x:v>OBS MUJERES</x:v>
      </x:c>
      <x:c r="H89" s="45" t="str">
        <x:v>EQUIPO OPERATIVO EN EL SERVICIO</x:v>
      </x:c>
      <x:c r="I89" s="45" t="n">
        <x:v>4</x:v>
      </x:c>
      <x:c r="J89" s="45" t="str">
        <x:v>Operativo explícito sin incidencia pendiente consignada</x:v>
      </x:c>
      <x:c r="K89" s="45" t="str">
        <x:v>Operativo explícito sin incidencia pendiente consignada</x:v>
      </x:c>
      <x:c r="L89" s="45" t="str">
        <x:v>OBS MUJERES</x:v>
      </x:c>
      <x:c r="M89" s="45" t="str">
        <x:v>base</x:v>
      </x:c>
      <x:c r="N89" s="45" t="str">
        <x:v>EQUIPO OPERATIVO EN EL SERVICIO</x:v>
      </x:c>
      <x:c r="O89" s="49" t="str">
        <x:v>No indicada</x:v>
      </x:c>
      <x:c r="P89" s="50" t="str">
        <x:v>No aplica</x:v>
      </x:c>
      <x:c r="Q89" s="45" t="str">
        <x:v>No aplica</x:v>
      </x:c>
      <x:c r="R89" s="45" t="str">
        <x:v>Serie 503352 repetida en ítems 85 y 88; no deduplicar ni afirmar dos activos físicos distintos sin conciliación institucional.</x:v>
      </x:c>
      <x:c r="S89" s="45" t="str">
        <x:v>Mantener seguimiento preventivo institucional</x:v>
      </x:c>
      <x:c r="T89" s="45" t="str">
        <x:v>Individualización o identidad por conciliar</x:v>
      </x:c>
      <x:c r="U89" s="45" t="str">
        <x:v>S2, p. 4, ítem 85</x:v>
      </x:c>
      <x:c r="V89" s="45" t="str">
        <x:v>CAIMI-S2-085</x:v>
      </x:c>
    </x:row>
    <x:row r="90" ht="42" customHeight="1">
      <x:c r="A90" s="45" t="n">
        <x:v>86</x:v>
      </x:c>
      <x:c r="B90" s="45" t="str">
        <x:v>CAMA ELECTRICA</x:v>
      </x:c>
      <x:c r="C90" s="45" t="str">
        <x:v>LOS PINOS</x:v>
      </x:c>
      <x:c r="D90" s="50" t="str">
        <x:v>740 L V01,08</x:v>
      </x:c>
      <x:c r="E90" s="50" t="str">
        <x:v>500230</x:v>
      </x:c>
      <x:c r="F90" s="50" t="str">
        <x:v>3421</x:v>
      </x:c>
      <x:c r="G90" s="45" t="str">
        <x:v>OBS HOMBRE</x:v>
      </x:c>
      <x:c r="H90" s="45" t="str">
        <x:v>EQUIPO OPERATIVO EN EL SERVICIO</x:v>
      </x:c>
      <x:c r="I90" s="45" t="n">
        <x:v>4</x:v>
      </x:c>
      <x:c r="J90" s="45" t="str">
        <x:v>Operativo explícito sin incidencia pendiente consignada</x:v>
      </x:c>
      <x:c r="K90" s="45" t="str">
        <x:v>Operativo explícito sin incidencia pendiente consignada</x:v>
      </x:c>
      <x:c r="L90" s="45" t="str">
        <x:v>OBS HOMBRE</x:v>
      </x:c>
      <x:c r="M90" s="45" t="str">
        <x:v>base</x:v>
      </x:c>
      <x:c r="N90" s="45" t="str">
        <x:v>EQUIPO OPERATIVO EN EL SERVICIO</x:v>
      </x:c>
      <x:c r="O90" s="49" t="str">
        <x:v>No indicada</x:v>
      </x:c>
      <x:c r="P90" s="50" t="str">
        <x:v>No aplica</x:v>
      </x:c>
      <x:c r="Q90" s="45" t="str">
        <x:v>No aplica</x:v>
      </x:c>
      <x:c r="R90" s="45" t="str"/>
      <x:c r="S90" s="45" t="str">
        <x:v>Mantener seguimiento preventivo institucional</x:v>
      </x:c>
      <x:c r="T90" s="45" t="str"/>
      <x:c r="U90" s="45" t="str">
        <x:v>S2, p. 4, ítem 86</x:v>
      </x:c>
      <x:c r="V90" s="45" t="str">
        <x:v>CAIMI-S2-086</x:v>
      </x:c>
    </x:row>
    <x:row r="91" ht="42" customHeight="1">
      <x:c r="A91" s="45" t="n">
        <x:v>87</x:v>
      </x:c>
      <x:c r="B91" s="45" t="str">
        <x:v>CAMA ELECTRICA</x:v>
      </x:c>
      <x:c r="C91" s="45" t="str">
        <x:v>LOS PINOS</x:v>
      </x:c>
      <x:c r="D91" s="50" t="str">
        <x:v>740 L V01,08</x:v>
      </x:c>
      <x:c r="E91" s="50" t="str">
        <x:v>500231</x:v>
      </x:c>
      <x:c r="F91" s="50" t="str">
        <x:v>3422</x:v>
      </x:c>
      <x:c r="G91" s="45" t="str">
        <x:v>OBS HOMBRE</x:v>
      </x:c>
      <x:c r="H91" s="45" t="str">
        <x:v>EQUIPO OPERATIVO EN EL SERVICIO</x:v>
      </x:c>
      <x:c r="I91" s="45" t="n">
        <x:v>4</x:v>
      </x:c>
      <x:c r="J91" s="45" t="str">
        <x:v>Operativo explícito sin incidencia pendiente consignada</x:v>
      </x:c>
      <x:c r="K91" s="45" t="str">
        <x:v>Operativo explícito sin incidencia pendiente consignada</x:v>
      </x:c>
      <x:c r="L91" s="45" t="str">
        <x:v>OBS HOMBRE</x:v>
      </x:c>
      <x:c r="M91" s="45" t="str">
        <x:v>base</x:v>
      </x:c>
      <x:c r="N91" s="45" t="str">
        <x:v>EQUIPO OPERATIVO EN EL SERVICIO</x:v>
      </x:c>
      <x:c r="O91" s="49" t="str">
        <x:v>No indicada</x:v>
      </x:c>
      <x:c r="P91" s="50" t="str">
        <x:v>No aplica</x:v>
      </x:c>
      <x:c r="Q91" s="45" t="str">
        <x:v>No aplica</x:v>
      </x:c>
      <x:c r="R91" s="45" t="str"/>
      <x:c r="S91" s="45" t="str">
        <x:v>Mantener seguimiento preventivo institucional</x:v>
      </x:c>
      <x:c r="T91" s="45" t="str"/>
      <x:c r="U91" s="45" t="str">
        <x:v>S2, p. 4, ítem 87</x:v>
      </x:c>
      <x:c r="V91" s="45" t="str">
        <x:v>CAIMI-S2-087</x:v>
      </x:c>
    </x:row>
    <x:row r="92" ht="54" customHeight="1">
      <x:c r="A92" s="45" t="n">
        <x:v>88</x:v>
      </x:c>
      <x:c r="B92" s="45" t="str">
        <x:v>CAMA ELECTRICA</x:v>
      </x:c>
      <x:c r="C92" s="45" t="str">
        <x:v>LOS PINOS</x:v>
      </x:c>
      <x:c r="D92" s="50" t="str">
        <x:v>741 L V01,08</x:v>
      </x:c>
      <x:c r="E92" s="50" t="str">
        <x:v>503352</x:v>
      </x:c>
      <x:c r="F92" s="50" t="str">
        <x:v>3303</x:v>
      </x:c>
      <x:c r="G92" s="45" t="str">
        <x:v>OBS HOMBRE</x:v>
      </x:c>
      <x:c r="H92" s="45" t="str">
        <x:v>PRESENTA CABLE DE CONTROL EN MAL ESTADO, FUNCIONA CON OBSERVACIONES</x:v>
      </x:c>
      <x:c r="I92" s="45" t="n">
        <x:v>4</x:v>
      </x:c>
      <x:c r="J92" s="45" t="str">
        <x:v>Operativo con observaciones</x:v>
      </x:c>
      <x:c r="K92" s="45" t="str">
        <x:v>Operativo con observaciones</x:v>
      </x:c>
      <x:c r="L92" s="45" t="str">
        <x:v>OBS HOMBRE</x:v>
      </x:c>
      <x:c r="M92" s="45" t="str">
        <x:v>base</x:v>
      </x:c>
      <x:c r="N92" s="45" t="str">
        <x:v>PRESENTA CABLE DE CONTROL EN MAL ESTADO, FUNCIONA CON OBSERVACIONES</x:v>
      </x:c>
      <x:c r="O92" s="49" t="str">
        <x:v>No indicada</x:v>
      </x:c>
      <x:c r="P92" s="50" t="str">
        <x:v>No aplica</x:v>
      </x:c>
      <x:c r="Q92" s="45" t="str">
        <x:v>No aplica</x:v>
      </x:c>
      <x:c r="R92" s="45" t="str">
        <x:v>Serie 503352 repetida en ítems 85 y 88; no deduplicar ni afirmar dos activos físicos distintos sin conciliación institucional.</x:v>
      </x:c>
      <x:c r="S92" s="45" t="str">
        <x:v>Gestionar observaciones originales y documentar verificación técnica posterior</x:v>
      </x:c>
      <x:c r="T92" s="45" t="str">
        <x:v>Intervención o verificación técnica; Individualización o identidad por conciliar</x:v>
      </x:c>
      <x:c r="U92" s="45" t="str">
        <x:v>S2, p. 4, ítem 88</x:v>
      </x:c>
      <x:c r="V92" s="45" t="str">
        <x:v>CAIMI-S2-088</x:v>
      </x:c>
    </x:row>
    <x:row r="93" ht="42" customHeight="1">
      <x:c r="A93" s="45" t="n">
        <x:v>89</x:v>
      </x:c>
      <x:c r="B93" s="45" t="str">
        <x:v>MICROSCOPIO</x:v>
      </x:c>
      <x:c r="C93" s="45" t="str">
        <x:v>LABOMED</x:v>
      </x:c>
      <x:c r="D93" s="50" t="str">
        <x:v>LX400</x:v>
      </x:c>
      <x:c r="E93" s="50" t="str">
        <x:v>130964300</x:v>
      </x:c>
      <x:c r="F93" s="50" t="str">
        <x:v>2786</x:v>
      </x:c>
      <x:c r="G93" s="45" t="str">
        <x:v>LABORATORIO</x:v>
      </x:c>
      <x:c r="H93" s="45" t="str">
        <x:v>EQUIPO OPERATIVO EN EL SERVICIO</x:v>
      </x:c>
      <x:c r="I93" s="45" t="n">
        <x:v>4</x:v>
      </x:c>
      <x:c r="J93" s="45" t="str">
        <x:v>Operativo explícito sin incidencia pendiente consignada</x:v>
      </x:c>
      <x:c r="K93" s="45" t="str">
        <x:v>Operativo explícito sin incidencia pendiente consignada</x:v>
      </x:c>
      <x:c r="L93" s="45" t="str">
        <x:v>LABORATORIO</x:v>
      </x:c>
      <x:c r="M93" s="45" t="str">
        <x:v>base</x:v>
      </x:c>
      <x:c r="N93" s="45" t="str">
        <x:v>EQUIPO OPERATIVO EN EL SERVICIO</x:v>
      </x:c>
      <x:c r="O93" s="49" t="str">
        <x:v>No indicada</x:v>
      </x:c>
      <x:c r="P93" s="50" t="str">
        <x:v>No aplica</x:v>
      </x:c>
      <x:c r="Q93" s="45" t="str">
        <x:v>No aplica</x:v>
      </x:c>
      <x:c r="R93" s="45" t="str"/>
      <x:c r="S93" s="45" t="str">
        <x:v>Mantener seguimiento preventivo institucional</x:v>
      </x:c>
      <x:c r="T93" s="45" t="str"/>
      <x:c r="U93" s="45" t="str">
        <x:v>S2, p. 4, ítem 89</x:v>
      </x:c>
      <x:c r="V93" s="45" t="str">
        <x:v>CAIMI-S2-089</x:v>
      </x:c>
    </x:row>
    <x:row r="94" ht="42" customHeight="1">
      <x:c r="A94" s="45" t="n">
        <x:v>90</x:v>
      </x:c>
      <x:c r="B94" s="45" t="str">
        <x:v>MICROSCOPIO</x:v>
      </x:c>
      <x:c r="C94" s="45" t="str">
        <x:v>LABOMED</x:v>
      </x:c>
      <x:c r="D94" s="50" t="str">
        <x:v>LX 400</x:v>
      </x:c>
      <x:c r="E94" s="50" t="str">
        <x:v>9126011</x:v>
      </x:c>
      <x:c r="F94" s="50" t="str">
        <x:v>2787</x:v>
      </x:c>
      <x:c r="G94" s="45" t="str">
        <x:v>LABORATORIO</x:v>
      </x:c>
      <x:c r="H94" s="45" t="str">
        <x:v>DESGASTE POR USO DE LA MESA, OBJETIVOS EN BUEN ESTADO. OPERATIVO CON OBSERVACIONES</x:v>
      </x:c>
      <x:c r="I94" s="45" t="n">
        <x:v>4</x:v>
      </x:c>
      <x:c r="J94" s="45" t="str">
        <x:v>Operativo con observaciones</x:v>
      </x:c>
      <x:c r="K94" s="45" t="str">
        <x:v>Operativo con observaciones</x:v>
      </x:c>
      <x:c r="L94" s="45" t="str">
        <x:v>LABORATORIO</x:v>
      </x:c>
      <x:c r="M94" s="45" t="str">
        <x:v>base</x:v>
      </x:c>
      <x:c r="N94" s="45" t="str">
        <x:v>DESGASTE POR USO DE LA MESA, OBJETIVOS EN BUEN ESTADO. OPERATIVO CON OBSERVACIONES</x:v>
      </x:c>
      <x:c r="O94" s="49" t="str">
        <x:v>No indicada</x:v>
      </x:c>
      <x:c r="P94" s="50" t="str">
        <x:v>No aplica</x:v>
      </x:c>
      <x:c r="Q94" s="45" t="str">
        <x:v>No aplica</x:v>
      </x:c>
      <x:c r="R94" s="45" t="str"/>
      <x:c r="S94" s="45" t="str">
        <x:v>Gestionar observaciones originales y documentar verificación técnica posterior</x:v>
      </x:c>
      <x:c r="T94" s="45" t="str">
        <x:v>Intervención o verificación técnica; Corrosión / desgaste / deterioro</x:v>
      </x:c>
      <x:c r="U94" s="45" t="str">
        <x:v>S2, p. 4, ítem 90</x:v>
      </x:c>
      <x:c r="V94" s="45" t="str">
        <x:v>CAIMI-S2-090</x:v>
      </x:c>
    </x:row>
    <x:row r="95" ht="42" customHeight="1">
      <x:c r="A95" s="45" t="n">
        <x:v>91</x:v>
      </x:c>
      <x:c r="B95" s="45" t="str">
        <x:v>INCUBADORA DE MUESTRAS</x:v>
      </x:c>
      <x:c r="C95" s="45" t="str">
        <x:v>MEMMERT</x:v>
      </x:c>
      <x:c r="D95" s="50" t="str">
        <x:v>100-800</x:v>
      </x:c>
      <x:c r="E95" s="50" t="str">
        <x:v>N/R</x:v>
      </x:c>
      <x:c r="F95" s="50" t="str">
        <x:v>2842</x:v>
      </x:c>
      <x:c r="G95" s="45" t="str">
        <x:v>LABORATORIO</x:v>
      </x:c>
      <x:c r="H95" s="45" t="str">
        <x:v>EQUIPO OPERATIVO EN EL SERVICIO</x:v>
      </x:c>
      <x:c r="I95" s="45" t="n">
        <x:v>5</x:v>
      </x:c>
      <x:c r="J95" s="45" t="str">
        <x:v>Operativo explícito sin incidencia pendiente consignada</x:v>
      </x:c>
      <x:c r="K95" s="45" t="str">
        <x:v>Operativo explícito sin incidencia pendiente consignada</x:v>
      </x:c>
      <x:c r="L95" s="45" t="str">
        <x:v>LABORATORIO</x:v>
      </x:c>
      <x:c r="M95" s="45" t="str">
        <x:v>base</x:v>
      </x:c>
      <x:c r="N95" s="45" t="str">
        <x:v>EQUIPO OPERATIVO EN EL SERVICIO</x:v>
      </x:c>
      <x:c r="O95" s="49" t="str">
        <x:v>No indicada</x:v>
      </x:c>
      <x:c r="P95" s="50" t="str">
        <x:v>No aplica</x:v>
      </x:c>
      <x:c r="Q95" s="45" t="str">
        <x:v>No aplica</x:v>
      </x:c>
      <x:c r="R95" s="45" t="str"/>
      <x:c r="S95" s="45" t="str">
        <x:v>Mantener seguimiento preventivo institucional</x:v>
      </x:c>
      <x:c r="T95" s="45" t="str"/>
      <x:c r="U95" s="45" t="str">
        <x:v>S2, p. 5, ítem 91</x:v>
      </x:c>
      <x:c r="V95" s="45" t="str">
        <x:v>CAIMI-S2-091</x:v>
      </x:c>
    </x:row>
    <x:row r="96" ht="42" customHeight="1">
      <x:c r="A96" s="45" t="n">
        <x:v>92</x:v>
      </x:c>
      <x:c r="B96" s="45" t="str">
        <x:v>MICROSCOPIO</x:v>
      </x:c>
      <x:c r="C96" s="45" t="str">
        <x:v>OLYMPUS</x:v>
      </x:c>
      <x:c r="D96" s="50" t="str">
        <x:v>CX31RBSFA</x:v>
      </x:c>
      <x:c r="E96" s="50" t="str">
        <x:v>9MO4992</x:v>
      </x:c>
      <x:c r="F96" s="50" t="str">
        <x:v>2762</x:v>
      </x:c>
      <x:c r="G96" s="45" t="str">
        <x:v>LABORATORIO</x:v>
      </x:c>
      <x:c r="H96" s="45" t="str">
        <x:v>DETERIORO POR USO DE LA MESA LONGITUDIAL Y PINTURA, OBJETIVO EN BUEN ESTADO. FUNCIONA CON OBSERVACIONES</x:v>
      </x:c>
      <x:c r="I96" s="45" t="n">
        <x:v>5</x:v>
      </x:c>
      <x:c r="J96" s="45" t="str">
        <x:v>Operativo con observaciones</x:v>
      </x:c>
      <x:c r="K96" s="45" t="str">
        <x:v>Operativo con observaciones</x:v>
      </x:c>
      <x:c r="L96" s="45" t="str">
        <x:v>LABORATORIO</x:v>
      </x:c>
      <x:c r="M96" s="45" t="str">
        <x:v>base</x:v>
      </x:c>
      <x:c r="N96" s="45" t="str">
        <x:v>DETERIORO POR USO DE LA MESA LONGITUDIAL Y PINTURA, OBJETIVO EN BUEN ESTADO. FUNCIONA CON OBSERVACIONES</x:v>
      </x:c>
      <x:c r="O96" s="49" t="str">
        <x:v>No indicada</x:v>
      </x:c>
      <x:c r="P96" s="50" t="str">
        <x:v>No aplica</x:v>
      </x:c>
      <x:c r="Q96" s="45" t="str">
        <x:v>No aplica</x:v>
      </x:c>
      <x:c r="R96" s="45" t="str"/>
      <x:c r="S96" s="45" t="str">
        <x:v>Gestionar observaciones originales y documentar verificación técnica posterior</x:v>
      </x:c>
      <x:c r="T96" s="45" t="str">
        <x:v>Intervención o verificación técnica; Corrosión / desgaste / deterioro</x:v>
      </x:c>
      <x:c r="U96" s="45" t="str">
        <x:v>S2, p. 5, ítem 92</x:v>
      </x:c>
      <x:c r="V96" s="45" t="str">
        <x:v>CAIMI-S2-092</x:v>
      </x:c>
    </x:row>
    <x:row r="97" ht="42" customHeight="1">
      <x:c r="A97" s="45" t="n">
        <x:v>93</x:v>
      </x:c>
      <x:c r="B97" s="45" t="str">
        <x:v>CABINA DE FLUJO LAMINAR</x:v>
      </x:c>
      <x:c r="C97" s="45" t="str">
        <x:v>THERMO SCIENTIFIC</x:v>
      </x:c>
      <x:c r="D97" s="50" t="str">
        <x:v>1300 SERIES A2</x:v>
      </x:c>
      <x:c r="E97" s="50" t="str">
        <x:v>300086042</x:v>
      </x:c>
      <x:c r="F97" s="50" t="str">
        <x:v>2756</x:v>
      </x:c>
      <x:c r="G97" s="45" t="str">
        <x:v>LABORATORIO</x:v>
      </x:c>
      <x:c r="H97" s="45" t="str">
        <x:v>EQUIPO OPERATIVO , REQUIERE CAMBIO DE BOMBILLO UV . FUNCIONA CON OBSERVACIONES</x:v>
      </x:c>
      <x:c r="I97" s="45" t="n">
        <x:v>5</x:v>
      </x:c>
      <x:c r="J97" s="45" t="str">
        <x:v>Operativo con observaciones</x:v>
      </x:c>
      <x:c r="K97" s="45" t="str">
        <x:v>Operativo con observaciones</x:v>
      </x:c>
      <x:c r="L97" s="45" t="str">
        <x:v>LABORATORIO</x:v>
      </x:c>
      <x:c r="M97" s="45" t="str">
        <x:v>base</x:v>
      </x:c>
      <x:c r="N97" s="45" t="str">
        <x:v>EQUIPO OPERATIVO , REQUIERE CAMBIO DE BOMBILLO UV . FUNCIONA CON OBSERVACIONES</x:v>
      </x:c>
      <x:c r="O97" s="49" t="str">
        <x:v>No indicada</x:v>
      </x:c>
      <x:c r="P97" s="50" t="str">
        <x:v>No aplica</x:v>
      </x:c>
      <x:c r="Q97" s="45" t="str">
        <x:v>No aplica</x:v>
      </x:c>
      <x:c r="R97" s="45" t="str"/>
      <x:c r="S97" s="45" t="str">
        <x:v>Gestionar observaciones originales y documentar verificación técnica posterior</x:v>
      </x:c>
      <x:c r="T97" s="45" t="str">
        <x:v>Intervención o verificación técnica</x:v>
      </x:c>
      <x:c r="U97" s="45" t="str">
        <x:v>S2, p. 5, ítem 93</x:v>
      </x:c>
      <x:c r="V97" s="45" t="str">
        <x:v>CAIMI-S2-093</x:v>
      </x:c>
    </x:row>
    <x:row r="98" ht="42" customHeight="1">
      <x:c r="A98" s="45" t="n">
        <x:v>94</x:v>
      </x:c>
      <x:c r="B98" s="45" t="str">
        <x:v>MICROSCOPIO</x:v>
      </x:c>
      <x:c r="C98" s="45" t="str">
        <x:v>OLYMPUS</x:v>
      </x:c>
      <x:c r="D98" s="50" t="str">
        <x:v>CX31RBSFA</x:v>
      </x:c>
      <x:c r="E98" s="50" t="str">
        <x:v>6L06369</x:v>
      </x:c>
      <x:c r="F98" s="50" t="str">
        <x:v>2766</x:v>
      </x:c>
      <x:c r="G98" s="45" t="str">
        <x:v>LABORATORIO</x:v>
      </x:c>
      <x:c r="H98" s="45" t="str">
        <x:v>EQUIPO PRESENTA EXCESO DE MATERIAL EN LAS PERILLAS. DETERIORO POR USO , SE RECOMIENDA RENOVACION TECNOLOGICA</x:v>
      </x:c>
      <x:c r="I98" s="45" t="n">
        <x:v>5</x:v>
      </x:c>
      <x:c r="J98" s="45" t="str">
        <x:v>Condición técnica por verificar</x:v>
      </x:c>
      <x:c r="K98" s="45" t="str">
        <x:v>Condición técnica por verificar</x:v>
      </x:c>
      <x:c r="L98" s="45" t="str">
        <x:v>LABORATORIO</x:v>
      </x:c>
      <x:c r="M98" s="45" t="str">
        <x:v>base</x:v>
      </x:c>
      <x:c r="N98" s="45" t="str">
        <x:v>EQUIPO PRESENTA EXCESO DE MATERIAL EN LAS PERILLAS. DETERIORO POR USO , SE RECOMIENDA RENOVACION TECNOLOGICA</x:v>
      </x:c>
      <x:c r="O98" s="49" t="str">
        <x:v>No indicada</x:v>
      </x:c>
      <x:c r="P98" s="50" t="str">
        <x:v>No aplica</x:v>
      </x:c>
      <x:c r="Q98" s="45" t="str">
        <x:v>No aplica</x:v>
      </x:c>
      <x:c r="R98" s="45" t="str"/>
      <x:c r="S98" s="45" t="str">
        <x:v>Gestionar observaciones originales y documentar verificación técnica posterior</x:v>
      </x:c>
      <x:c r="T98" s="45" t="str">
        <x:v>Intervención o verificación técnica; Renovación tecnológica recomendada; Corrosión / desgaste / deterioro</x:v>
      </x:c>
      <x:c r="U98" s="45" t="str">
        <x:v>S2, p. 5, ítem 94</x:v>
      </x:c>
      <x:c r="V98" s="45" t="str">
        <x:v>CAIMI-S2-094</x:v>
      </x:c>
    </x:row>
    <x:row r="99" ht="54" customHeight="1">
      <x:c r="A99" s="45" t="n">
        <x:v>95</x:v>
      </x:c>
      <x:c r="B99" s="45" t="str">
        <x:v>AGITADOR DE MAZZINI</x:v>
      </x:c>
      <x:c r="C99" s="45" t="str">
        <x:v>LAB ROTATOR</x:v>
      </x:c>
      <x:c r="D99" s="50" t="str">
        <x:v>DSR 2100V</x:v>
      </x:c>
      <x:c r="E99" s="50" t="str">
        <x:v>126</x:v>
      </x:c>
      <x:c r="F99" s="50" t="str">
        <x:v>21000217</x:v>
      </x:c>
      <x:c r="G99" s="45" t="str">
        <x:v>LABORATORIO</x:v>
      </x:c>
      <x:c r="H99" s="45" t="str">
        <x:v>EQUIPO PRESENTA CORROSION EN PLATAFORMA.DESAJUSTE EN EL TEMPORIZADOR Y EL IMS DE VELOCIDAD. CUMPLIO SU VIDA UTIL . SE RECOMIENDA RENOVACION DE TECNOLOGIA</x:v>
      </x:c>
      <x:c r="I99" s="45" t="n">
        <x:v>5</x:v>
      </x:c>
      <x:c r="J99" s="45" t="str">
        <x:v>Condición técnica por verificar</x:v>
      </x:c>
      <x:c r="K99" s="45" t="str">
        <x:v>Condición técnica por verificar</x:v>
      </x:c>
      <x:c r="L99" s="45" t="str">
        <x:v>LABORATORIO</x:v>
      </x:c>
      <x:c r="M99" s="45" t="str">
        <x:v>base</x:v>
      </x:c>
      <x:c r="N99" s="45" t="str">
        <x:v>EQUIPO PRESENTA CORROSION EN PLATAFORMA.DESAJUSTE EN EL TEMPORIZADOR Y EL IMS DE VELOCIDAD. CUMPLIO SU VIDA UTIL . SE RECOMIENDA RENOVACION DE TECNOLOGIA</x:v>
      </x:c>
      <x:c r="O99" s="49" t="str">
        <x:v>No indicada</x:v>
      </x:c>
      <x:c r="P99" s="50" t="str">
        <x:v>No aplica</x:v>
      </x:c>
      <x:c r="Q99" s="45" t="str">
        <x:v>No aplica</x:v>
      </x:c>
      <x:c r="R99" s="45" t="str"/>
      <x:c r="S99" s="45" t="str">
        <x:v>Gestionar observaciones originales y documentar verificación técnica posterior</x:v>
      </x:c>
      <x:c r="T99" s="45" t="str">
        <x:v>Intervención o verificación técnica; Renovación tecnológica recomendada; Corrosión / desgaste / deterioro</x:v>
      </x:c>
      <x:c r="U99" s="45" t="str">
        <x:v>S2, p. 5, ítem 95</x:v>
      </x:c>
      <x:c r="V99" s="45" t="str">
        <x:v>CAIMI-S2-095</x:v>
      </x:c>
    </x:row>
    <x:row r="100" ht="42" customHeight="1">
      <x:c r="A100" s="45" t="n">
        <x:v>96</x:v>
      </x:c>
      <x:c r="B100" s="45" t="str">
        <x:v>CENTRIFUGA</x:v>
      </x:c>
      <x:c r="C100" s="45" t="str">
        <x:v>THERMO SCIENTIFIC</x:v>
      </x:c>
      <x:c r="D100" s="50" t="str">
        <x:v>LABOFUGE 200</x:v>
      </x:c>
      <x:c r="E100" s="50" t="str">
        <x:v>721013092006</x:v>
      </x:c>
      <x:c r="F100" s="50" t="str">
        <x:v>2800</x:v>
      </x:c>
      <x:c r="G100" s="45" t="str">
        <x:v>LABORATORIO</x:v>
      </x:c>
      <x:c r="H100" s="45" t="str">
        <x:v>EQUIPO FUERA DE SERVICIO , SE RECOMIENDA RECNOVACION DE TECNLOGIA</x:v>
      </x:c>
      <x:c r="I100" s="45" t="n">
        <x:v>5</x:v>
      </x:c>
      <x:c r="J100" s="45" t="str">
        <x:v>Fuera de servicio explícito</x:v>
      </x:c>
      <x:c r="K100" s="45" t="str">
        <x:v>Fuera de servicio explícito</x:v>
      </x:c>
      <x:c r="L100" s="45" t="str">
        <x:v>LABORATORIO</x:v>
      </x:c>
      <x:c r="M100" s="45" t="str">
        <x:v>base</x:v>
      </x:c>
      <x:c r="N100" s="45" t="str">
        <x:v>EQUIPO FUERA DE SERVICIO , SE RECOMIENDA RECNOVACION DE TECNLOGIA</x:v>
      </x:c>
      <x:c r="O100" s="49" t="str">
        <x:v>No indicada</x:v>
      </x:c>
      <x:c r="P100" s="50" t="str">
        <x:v>No aplica</x:v>
      </x:c>
      <x:c r="Q100" s="45" t="str">
        <x:v>No aplica</x:v>
      </x:c>
      <x:c r="R100" s="45" t="str"/>
      <x:c r="S100" s="45" t="str">
        <x:v>Gestionar observaciones originales y documentar verificación técnica posterior</x:v>
      </x:c>
      <x:c r="T100" s="45" t="str">
        <x:v>Intervención o verificación técnica; Renovación tecnológica recomendada</x:v>
      </x:c>
      <x:c r="U100" s="45" t="str">
        <x:v>S2, p. 5, ítem 96</x:v>
      </x:c>
      <x:c r="V100" s="45" t="str">
        <x:v>CAIMI-S2-096</x:v>
      </x:c>
    </x:row>
    <x:row r="101" ht="42" customHeight="1">
      <x:c r="A101" s="45" t="n">
        <x:v>97</x:v>
      </x:c>
      <x:c r="B101" s="45" t="str">
        <x:v>CONTADOR DE CELULAS ELECTRONICO</x:v>
      </x:c>
      <x:c r="C101" s="45" t="str">
        <x:v>KRAMER</x:v>
      </x:c>
      <x:c r="D101" s="50" t="str">
        <x:v>LMP001</x:v>
      </x:c>
      <x:c r="E101" s="50" t="str">
        <x:v>852</x:v>
      </x:c>
      <x:c r="F101" s="50" t="str">
        <x:v>4807</x:v>
      </x:c>
      <x:c r="G101" s="45" t="str">
        <x:v>LABORATORIO</x:v>
      </x:c>
      <x:c r="H101" s="45" t="str">
        <x:v>EQUIPO OPERATIVO EN EL SERVICIO</x:v>
      </x:c>
      <x:c r="I101" s="45" t="n">
        <x:v>5</x:v>
      </x:c>
      <x:c r="J101" s="45" t="str">
        <x:v>Operativo explícito sin incidencia pendiente consignada</x:v>
      </x:c>
      <x:c r="K101" s="45" t="str">
        <x:v>Operativo explícito sin incidencia pendiente consignada</x:v>
      </x:c>
      <x:c r="L101" s="45" t="str">
        <x:v>LABORATORIO</x:v>
      </x:c>
      <x:c r="M101" s="45" t="str">
        <x:v>base</x:v>
      </x:c>
      <x:c r="N101" s="45" t="str">
        <x:v>EQUIPO OPERATIVO EN EL SERVICIO</x:v>
      </x:c>
      <x:c r="O101" s="49" t="str">
        <x:v>No indicada</x:v>
      </x:c>
      <x:c r="P101" s="50" t="str">
        <x:v>No aplica</x:v>
      </x:c>
      <x:c r="Q101" s="45" t="str">
        <x:v>No aplica</x:v>
      </x:c>
      <x:c r="R101" s="45" t="str"/>
      <x:c r="S101" s="45" t="str">
        <x:v>Mantener seguimiento preventivo institucional</x:v>
      </x:c>
      <x:c r="T101" s="45" t="str"/>
      <x:c r="U101" s="45" t="str">
        <x:v>S2, p. 5, ítem 97</x:v>
      </x:c>
      <x:c r="V101" s="45" t="str">
        <x:v>CAIMI-S2-097</x:v>
      </x:c>
    </x:row>
    <x:row r="102" ht="42" customHeight="1">
      <x:c r="A102" s="45" t="n">
        <x:v>98</x:v>
      </x:c>
      <x:c r="B102" s="45" t="str">
        <x:v>MICROPIPETA</x:v>
      </x:c>
      <x:c r="C102" s="45" t="str">
        <x:v>BOECO</x:v>
      </x:c>
      <x:c r="D102" s="50" t="str">
        <x:v>20-200 UL</x:v>
      </x:c>
      <x:c r="E102" s="50" t="str">
        <x:v>OB1111718</x:v>
      </x:c>
      <x:c r="F102" s="50" t="str">
        <x:v>N/R</x:v>
      </x:c>
      <x:c r="G102" s="45" t="str">
        <x:v>LABORATORIO</x:v>
      </x:c>
      <x:c r="H102" s="45" t="str">
        <x:v>EQUIPO OPERATIVO EN EL SERVICIO</x:v>
      </x:c>
      <x:c r="I102" s="45" t="n">
        <x:v>5</x:v>
      </x:c>
      <x:c r="J102" s="45" t="str">
        <x:v>Operativo explícito sin incidencia pendiente consignada</x:v>
      </x:c>
      <x:c r="K102" s="45" t="str">
        <x:v>Operativo explícito sin incidencia pendiente consignada</x:v>
      </x:c>
      <x:c r="L102" s="45" t="str">
        <x:v>LABORATORIO</x:v>
      </x:c>
      <x:c r="M102" s="45" t="str">
        <x:v>base</x:v>
      </x:c>
      <x:c r="N102" s="45" t="str">
        <x:v>EQUIPO OPERATIVO EN EL SERVICIO</x:v>
      </x:c>
      <x:c r="O102" s="49" t="str">
        <x:v>No indicada</x:v>
      </x:c>
      <x:c r="P102" s="50" t="str">
        <x:v>No aplica</x:v>
      </x:c>
      <x:c r="Q102" s="45" t="str">
        <x:v>No aplica</x:v>
      </x:c>
      <x:c r="R102" s="45" t="str"/>
      <x:c r="S102" s="45" t="str">
        <x:v>Mantener seguimiento preventivo institucional</x:v>
      </x:c>
      <x:c r="T102" s="45" t="str"/>
      <x:c r="U102" s="45" t="str">
        <x:v>S2, p. 5, ítem 98</x:v>
      </x:c>
      <x:c r="V102" s="45" t="str">
        <x:v>CAIMI-S2-098</x:v>
      </x:c>
    </x:row>
    <x:row r="103" ht="42" customHeight="1">
      <x:c r="A103" s="45" t="n">
        <x:v>99</x:v>
      </x:c>
      <x:c r="B103" s="45" t="str">
        <x:v>MICROPIPETA</x:v>
      </x:c>
      <x:c r="C103" s="45" t="str">
        <x:v>HUMAN</x:v>
      </x:c>
      <x:c r="D103" s="50" t="str">
        <x:v>N/R</x:v>
      </x:c>
      <x:c r="E103" s="50" t="str">
        <x:v>N/R</x:v>
      </x:c>
      <x:c r="F103" s="50" t="str">
        <x:v>3341</x:v>
      </x:c>
      <x:c r="G103" s="45" t="str">
        <x:v>LABORATORIO</x:v>
      </x:c>
      <x:c r="H103" s="45" t="str">
        <x:v>EQUIPO OPERATIVO EN EL SERVICIO</x:v>
      </x:c>
      <x:c r="I103" s="45" t="n">
        <x:v>5</x:v>
      </x:c>
      <x:c r="J103" s="45" t="str">
        <x:v>Operativo explícito sin incidencia pendiente consignada</x:v>
      </x:c>
      <x:c r="K103" s="45" t="str">
        <x:v>Operativo explícito sin incidencia pendiente consignada</x:v>
      </x:c>
      <x:c r="L103" s="45" t="str">
        <x:v>LABORATORIO</x:v>
      </x:c>
      <x:c r="M103" s="45" t="str">
        <x:v>base</x:v>
      </x:c>
      <x:c r="N103" s="45" t="str">
        <x:v>EQUIPO OPERATIVO EN EL SERVICIO</x:v>
      </x:c>
      <x:c r="O103" s="49" t="str">
        <x:v>No indicada</x:v>
      </x:c>
      <x:c r="P103" s="50" t="str">
        <x:v>No aplica</x:v>
      </x:c>
      <x:c r="Q103" s="45" t="str">
        <x:v>No aplica</x:v>
      </x:c>
      <x:c r="R103" s="45" t="str"/>
      <x:c r="S103" s="45" t="str">
        <x:v>Mantener seguimiento preventivo institucional</x:v>
      </x:c>
      <x:c r="T103" s="45" t="str"/>
      <x:c r="U103" s="45" t="str">
        <x:v>S2, p. 5, ítem 99</x:v>
      </x:c>
      <x:c r="V103" s="45" t="str">
        <x:v>CAIMI-S2-099</x:v>
      </x:c>
    </x:row>
    <x:row r="104" ht="42" customHeight="1">
      <x:c r="A104" s="45" t="n">
        <x:v>100</x:v>
      </x:c>
      <x:c r="B104" s="45" t="str">
        <x:v>MICROPIPETA</x:v>
      </x:c>
      <x:c r="C104" s="45" t="str"/>
      <x:c r="D104" s="50" t="str">
        <x:v>200UL- 1000UL</x:v>
      </x:c>
      <x:c r="E104" s="50" t="str">
        <x:v>N/R</x:v>
      </x:c>
      <x:c r="F104" s="50" t="str">
        <x:v>3345</x:v>
      </x:c>
      <x:c r="G104" s="45" t="str">
        <x:v>LABORATORIO</x:v>
      </x:c>
      <x:c r="H104" s="45" t="str">
        <x:v>EQUIPO OPERATIVO EN EL SERVICIO</x:v>
      </x:c>
      <x:c r="I104" s="45" t="n">
        <x:v>5</x:v>
      </x:c>
      <x:c r="J104" s="45" t="str">
        <x:v>Operativo explícito sin incidencia pendiente consignada</x:v>
      </x:c>
      <x:c r="K104" s="45" t="str">
        <x:v>Operativo explícito sin incidencia pendiente consignada</x:v>
      </x:c>
      <x:c r="L104" s="45" t="str">
        <x:v>LABORATORIO</x:v>
      </x:c>
      <x:c r="M104" s="45" t="str">
        <x:v>base</x:v>
      </x:c>
      <x:c r="N104" s="45" t="str">
        <x:v>EQUIPO OPERATIVO EN EL SERVICIO</x:v>
      </x:c>
      <x:c r="O104" s="49" t="str">
        <x:v>No indicada</x:v>
      </x:c>
      <x:c r="P104" s="50" t="str">
        <x:v>No aplica</x:v>
      </x:c>
      <x:c r="Q104" s="45" t="str">
        <x:v>No aplica</x:v>
      </x:c>
      <x:c r="R104" s="45" t="str"/>
      <x:c r="S104" s="45" t="str">
        <x:v>Mantener seguimiento preventivo institucional</x:v>
      </x:c>
      <x:c r="T104" s="45" t="str"/>
      <x:c r="U104" s="45" t="str">
        <x:v>S2, p. 5, ítem 100</x:v>
      </x:c>
      <x:c r="V104" s="45" t="str">
        <x:v>CAIMI-S2-100</x:v>
      </x:c>
    </x:row>
    <x:row r="105" ht="68" customHeight="1">
      <x:c r="A105" s="45" t="n">
        <x:v>101</x:v>
      </x:c>
      <x:c r="B105" s="45" t="str">
        <x:v>MICROPIPETA</x:v>
      </x:c>
      <x:c r="C105" s="45" t="str">
        <x:v>HUMAN</x:v>
      </x:c>
      <x:c r="D105" s="50" t="str">
        <x:v>5-30 UL</x:v>
      </x:c>
      <x:c r="E105" s="50" t="str">
        <x:v>N/R</x:v>
      </x:c>
      <x:c r="F105" s="50" t="str">
        <x:v>2820</x:v>
      </x:c>
      <x:c r="G105" s="45" t="str">
        <x:v>LABORATORIO</x:v>
      </x:c>
      <x:c r="H105" s="45" t="str">
        <x:v>EQUIPO NO SE ENCUENTRA EN EL SERVICIO</x:v>
      </x:c>
      <x:c r="I105" s="45" t="n">
        <x:v>5</x:v>
      </x:c>
      <x:c r="J105" s="45" t="str">
        <x:v>No ubicado en la visita inicial</x:v>
      </x:c>
      <x:c r="K105" s="45" t="str">
        <x:v>Fuera de servicio explícito</x:v>
      </x:c>
      <x:c r="L105" s="45" t="str">
        <x:v>Laboratorio</x:v>
      </x:c>
      <x:c r="M105" s="45" t="str">
        <x:v>placa</x:v>
      </x:c>
      <x:c r="N105" s="45" t="str">
        <x:v>Fuera de servicio; no pasa test de volumen, deterioro de carcasa y sistema de lectura bloqueado; recomienda baja</x:v>
      </x:c>
      <x:c r="O105" s="49" t="d">
        <x:v>2026-10-08T00:00:00.000Z</x:v>
      </x:c>
      <x:c r="P105" s="50" t="str">
        <x:v>43823</x:v>
      </x:c>
      <x:c r="Q105" s="45" t="n">
        <x:v>4</x:v>
      </x:c>
      <x:c r="R105" s="45" t="str">
        <x:v>Rango manuscrito parece 5-80 UL frente a 5-30 UL en inventario; lectura por corroborar. No equivale a baja ejecutada.</x:v>
      </x:c>
      <x:c r="S105" s="45" t="str">
        <x:v>Evaluación institucional de recomendación de baja y validación del rango</x:v>
      </x:c>
      <x:c r="T105" s="45" t="str">
        <x:v>Intervención o verificación técnica; Baja recomendada, no ejecutada; Corrosión / desgaste / deterioro</x:v>
      </x:c>
      <x:c r="U105" s="45" t="str">
        <x:v>S1, p. 4, reporte 43823</x:v>
      </x:c>
      <x:c r="V105" s="45" t="str">
        <x:v>CAIMI-S2-101</x:v>
      </x:c>
    </x:row>
    <x:row r="106" ht="42" customHeight="1">
      <x:c r="A106" s="45" t="n">
        <x:v>102</x:v>
      </x:c>
      <x:c r="B106" s="45" t="str">
        <x:v>MONITOR DE SIGNOS VITALES</x:v>
      </x:c>
      <x:c r="C106" s="45" t="str">
        <x:v>MINDRAY</x:v>
      </x:c>
      <x:c r="D106" s="50" t="str">
        <x:v>UMEC 10</x:v>
      </x:c>
      <x:c r="E106" s="50" t="str">
        <x:v>KN-96097042</x:v>
      </x:c>
      <x:c r="F106" s="50" t="str">
        <x:v>6207</x:v>
      </x:c>
      <x:c r="G106" s="45" t="str">
        <x:v>HIDRATACION</x:v>
      </x:c>
      <x:c r="H106" s="45" t="str">
        <x:v>REQUIERE BATERIA Y BRAZALETES, FUNCIONA CON OBSERVACIONES</x:v>
      </x:c>
      <x:c r="I106" s="45" t="n">
        <x:v>5</x:v>
      </x:c>
      <x:c r="J106" s="45" t="str">
        <x:v>Operativo con observaciones</x:v>
      </x:c>
      <x:c r="K106" s="45" t="str">
        <x:v>Operativo con observaciones</x:v>
      </x:c>
      <x:c r="L106" s="45" t="str">
        <x:v>HIDRATACION</x:v>
      </x:c>
      <x:c r="M106" s="45" t="str">
        <x:v>base</x:v>
      </x:c>
      <x:c r="N106" s="45" t="str">
        <x:v>REQUIERE BATERIA Y BRAZALETES, FUNCIONA CON OBSERVACIONES</x:v>
      </x:c>
      <x:c r="O106" s="49" t="str">
        <x:v>No indicada</x:v>
      </x:c>
      <x:c r="P106" s="50" t="str">
        <x:v>No aplica</x:v>
      </x:c>
      <x:c r="Q106" s="45" t="str">
        <x:v>No aplica</x:v>
      </x:c>
      <x:c r="R106" s="45" t="str"/>
      <x:c r="S106" s="45" t="str">
        <x:v>Gestionar observaciones originales y documentar verificación técnica posterior</x:v>
      </x:c>
      <x:c r="T106" s="45" t="str">
        <x:v>Intervención o verificación técnica; Baterías / autonomía</x:v>
      </x:c>
      <x:c r="U106" s="45" t="str">
        <x:v>S2, p. 5, ítem 102</x:v>
      </x:c>
      <x:c r="V106" s="45" t="str">
        <x:v>CAIMI-S2-102</x:v>
      </x:c>
    </x:row>
    <x:row r="107" ht="42" customHeight="1">
      <x:c r="A107" s="45" t="n">
        <x:v>103</x:v>
      </x:c>
      <x:c r="B107" s="45" t="str">
        <x:v>MONITOR DE SIGNOS VITALES</x:v>
      </x:c>
      <x:c r="C107" s="45" t="str">
        <x:v>MINDRAY</x:v>
      </x:c>
      <x:c r="D107" s="50" t="str">
        <x:v>UMEC 10</x:v>
      </x:c>
      <x:c r="E107" s="50" t="str">
        <x:v>KN-27148967</x:v>
      </x:c>
      <x:c r="F107" s="50" t="str">
        <x:v>7671</x:v>
      </x:c>
      <x:c r="G107" s="45" t="str">
        <x:v>URG-REANIMACION</x:v>
      </x:c>
      <x:c r="H107" s="45" t="str">
        <x:v>EQUIPO FUCIONA CORRECTAMENTE , REQUIERE BATERIA DE RESPALDO</x:v>
      </x:c>
      <x:c r="I107" s="45" t="n">
        <x:v>5</x:v>
      </x:c>
      <x:c r="J107" s="45" t="str">
        <x:v>Operativo con observaciones</x:v>
      </x:c>
      <x:c r="K107" s="45" t="str">
        <x:v>Operativo con observaciones</x:v>
      </x:c>
      <x:c r="L107" s="45" t="str">
        <x:v>URG-REANIMACION</x:v>
      </x:c>
      <x:c r="M107" s="45" t="str">
        <x:v>base</x:v>
      </x:c>
      <x:c r="N107" s="45" t="str">
        <x:v>EQUIPO FUCIONA CORRECTAMENTE , REQUIERE BATERIA DE RESPALDO</x:v>
      </x:c>
      <x:c r="O107" s="49" t="str">
        <x:v>No indicada</x:v>
      </x:c>
      <x:c r="P107" s="50" t="str">
        <x:v>No aplica</x:v>
      </x:c>
      <x:c r="Q107" s="45" t="str">
        <x:v>No aplica</x:v>
      </x:c>
      <x:c r="R107" s="45" t="str"/>
      <x:c r="S107" s="45" t="str">
        <x:v>Gestionar observaciones originales y documentar verificación técnica posterior</x:v>
      </x:c>
      <x:c r="T107" s="45" t="str">
        <x:v>Intervención o verificación técnica; Baterías / autonomía</x:v>
      </x:c>
      <x:c r="U107" s="45" t="str">
        <x:v>S2, p. 5, ítem 103</x:v>
      </x:c>
      <x:c r="V107" s="45" t="str">
        <x:v>CAIMI-S2-103</x:v>
      </x:c>
    </x:row>
    <x:row r="108" ht="42" customHeight="1">
      <x:c r="A108" s="45" t="n">
        <x:v>104</x:v>
      </x:c>
      <x:c r="B108" s="45" t="str">
        <x:v>LARINGOSCOPIO</x:v>
      </x:c>
      <x:c r="C108" s="45" t="str">
        <x:v>WELCH ALLYN</x:v>
      </x:c>
      <x:c r="D108" s="50" t="str">
        <x:v>60813</x:v>
      </x:c>
      <x:c r="E108" s="50" t="str">
        <x:v>N/R</x:v>
      </x:c>
      <x:c r="F108" s="50" t="str">
        <x:v>21101677</x:v>
      </x:c>
      <x:c r="G108" s="45" t="str">
        <x:v>CARRO DE PARO</x:v>
      </x:c>
      <x:c r="H108" s="45" t="str">
        <x:v>EQUIPO OPERATIVO EN EL SERVICIO</x:v>
      </x:c>
      <x:c r="I108" s="45" t="n">
        <x:v>5</x:v>
      </x:c>
      <x:c r="J108" s="45" t="str">
        <x:v>Operativo explícito sin incidencia pendiente consignada</x:v>
      </x:c>
      <x:c r="K108" s="45" t="str">
        <x:v>Operativo explícito sin incidencia pendiente consignada</x:v>
      </x:c>
      <x:c r="L108" s="45" t="str">
        <x:v>CARRO DE PARO</x:v>
      </x:c>
      <x:c r="M108" s="45" t="str">
        <x:v>base</x:v>
      </x:c>
      <x:c r="N108" s="45" t="str">
        <x:v>EQUIPO OPERATIVO EN EL SERVICIO</x:v>
      </x:c>
      <x:c r="O108" s="49" t="str">
        <x:v>No indicada</x:v>
      </x:c>
      <x:c r="P108" s="50" t="str">
        <x:v>No aplica</x:v>
      </x:c>
      <x:c r="Q108" s="45" t="str">
        <x:v>No aplica</x:v>
      </x:c>
      <x:c r="R108" s="45" t="str"/>
      <x:c r="S108" s="45" t="str">
        <x:v>Mantener seguimiento preventivo institucional</x:v>
      </x:c>
      <x:c r="T108" s="45" t="str"/>
      <x:c r="U108" s="45" t="str">
        <x:v>S2, p. 5, ítem 104</x:v>
      </x:c>
      <x:c r="V108" s="45" t="str">
        <x:v>CAIMI-S2-104</x:v>
      </x:c>
    </x:row>
    <x:row r="109" ht="42" customHeight="1">
      <x:c r="A109" s="45" t="n">
        <x:v>105</x:v>
      </x:c>
      <x:c r="B109" s="45" t="str">
        <x:v>LARINGOSCOPIO</x:v>
      </x:c>
      <x:c r="C109" s="45" t="str">
        <x:v>WELCH ALLYN</x:v>
      </x:c>
      <x:c r="D109" s="50" t="str">
        <x:v>695001</x:v>
      </x:c>
      <x:c r="E109" s="50" t="str">
        <x:v>N/R</x:v>
      </x:c>
      <x:c r="F109" s="50" t="str">
        <x:v>N/R</x:v>
      </x:c>
      <x:c r="G109" s="45" t="str">
        <x:v>CARRO DE PARO</x:v>
      </x:c>
      <x:c r="H109" s="45" t="str">
        <x:v>OPERATIVO EN EL SERVICIO</x:v>
      </x:c>
      <x:c r="I109" s="45" t="n">
        <x:v>5</x:v>
      </x:c>
      <x:c r="J109" s="45" t="str">
        <x:v>Operativo explícito sin incidencia pendiente consignada</x:v>
      </x:c>
      <x:c r="K109" s="45" t="str">
        <x:v>Operativo explícito sin incidencia pendiente consignada</x:v>
      </x:c>
      <x:c r="L109" s="45" t="str">
        <x:v>CARRO DE PARO</x:v>
      </x:c>
      <x:c r="M109" s="45" t="str">
        <x:v>base</x:v>
      </x:c>
      <x:c r="N109" s="45" t="str">
        <x:v>OPERATIVO EN EL SERVICIO</x:v>
      </x:c>
      <x:c r="O109" s="49" t="str">
        <x:v>No indicada</x:v>
      </x:c>
      <x:c r="P109" s="50" t="str">
        <x:v>No aplica</x:v>
      </x:c>
      <x:c r="Q109" s="45" t="str">
        <x:v>No aplica</x:v>
      </x:c>
      <x:c r="R109" s="45" t="str"/>
      <x:c r="S109" s="45" t="str">
        <x:v>Mantener seguimiento preventivo institucional</x:v>
      </x:c>
      <x:c r="T109" s="45" t="str"/>
      <x:c r="U109" s="45" t="str">
        <x:v>S2, p. 5, ítem 105</x:v>
      </x:c>
      <x:c r="V109" s="45" t="str">
        <x:v>CAIMI-S2-105</x:v>
      </x:c>
    </x:row>
    <x:row r="110" ht="42" customHeight="1">
      <x:c r="A110" s="45" t="n">
        <x:v>106</x:v>
      </x:c>
      <x:c r="B110" s="45" t="str">
        <x:v>NEBULIZADOR</x:v>
      </x:c>
      <x:c r="C110" s="45" t="str">
        <x:v>THOMAS</x:v>
      </x:c>
      <x:c r="D110" s="50" t="str">
        <x:v>1145</x:v>
      </x:c>
      <x:c r="E110" s="50" t="str">
        <x:v>51400002689</x:v>
      </x:c>
      <x:c r="F110" s="50" t="str">
        <x:v>3268</x:v>
      </x:c>
      <x:c r="G110" s="45" t="str">
        <x:v>SALA ERA-URG</x:v>
      </x:c>
      <x:c r="H110" s="45" t="str">
        <x:v>EQUIPO OPERATIVO EN EL SERVICIO</x:v>
      </x:c>
      <x:c r="I110" s="45" t="n">
        <x:v>5</x:v>
      </x:c>
      <x:c r="J110" s="45" t="str">
        <x:v>Operativo explícito sin incidencia pendiente consignada</x:v>
      </x:c>
      <x:c r="K110" s="45" t="str">
        <x:v>Operativo explícito sin incidencia pendiente consignada</x:v>
      </x:c>
      <x:c r="L110" s="45" t="str">
        <x:v>SALA ERA-URG</x:v>
      </x:c>
      <x:c r="M110" s="45" t="str">
        <x:v>base</x:v>
      </x:c>
      <x:c r="N110" s="45" t="str">
        <x:v>EQUIPO OPERATIVO EN EL SERVICIO</x:v>
      </x:c>
      <x:c r="O110" s="49" t="str">
        <x:v>No indicada</x:v>
      </x:c>
      <x:c r="P110" s="50" t="str">
        <x:v>No aplica</x:v>
      </x:c>
      <x:c r="Q110" s="45" t="str">
        <x:v>No aplica</x:v>
      </x:c>
      <x:c r="R110" s="45" t="str"/>
      <x:c r="S110" s="45" t="str">
        <x:v>Mantener seguimiento preventivo institucional</x:v>
      </x:c>
      <x:c r="T110" s="45" t="str"/>
      <x:c r="U110" s="45" t="str">
        <x:v>S2, p. 5, ítem 106</x:v>
      </x:c>
      <x:c r="V110" s="45" t="str">
        <x:v>CAIMI-S2-106</x:v>
      </x:c>
    </x:row>
    <x:row r="111" ht="42" customHeight="1">
      <x:c r="A111" s="45" t="n">
        <x:v>107</x:v>
      </x:c>
      <x:c r="B111" s="45" t="str">
        <x:v>CAMA ELECTRICA</x:v>
      </x:c>
      <x:c r="C111" s="45" t="str">
        <x:v>LOS PINOS</x:v>
      </x:c>
      <x:c r="D111" s="50" t="str">
        <x:v>740L V01 , 08</x:v>
      </x:c>
      <x:c r="E111" s="50" t="str">
        <x:v>503348</x:v>
      </x:c>
      <x:c r="F111" s="50" t="str">
        <x:v>3302</x:v>
      </x:c>
      <x:c r="G111" s="45" t="str">
        <x:v>CAMA 1B</x:v>
      </x:c>
      <x:c r="H111" s="45" t="str">
        <x:v>CONTROL PRESENTA CABLE EN MAL ESTADO, CRISTALIZACION DEL ENCAUCHETADO.FUNCIONA CON OBSERVACIONES</x:v>
      </x:c>
      <x:c r="I111" s="45" t="n">
        <x:v>5</x:v>
      </x:c>
      <x:c r="J111" s="45" t="str">
        <x:v>Operativo con observaciones</x:v>
      </x:c>
      <x:c r="K111" s="45" t="str">
        <x:v>Operativo con observaciones</x:v>
      </x:c>
      <x:c r="L111" s="45" t="str">
        <x:v>CAMA 1B</x:v>
      </x:c>
      <x:c r="M111" s="45" t="str">
        <x:v>base</x:v>
      </x:c>
      <x:c r="N111" s="45" t="str">
        <x:v>CONTROL PRESENTA CABLE EN MAL ESTADO, CRISTALIZACION DEL ENCAUCHETADO.FUNCIONA CON OBSERVACIONES</x:v>
      </x:c>
      <x:c r="O111" s="49" t="str">
        <x:v>No indicada</x:v>
      </x:c>
      <x:c r="P111" s="50" t="str">
        <x:v>No aplica</x:v>
      </x:c>
      <x:c r="Q111" s="45" t="str">
        <x:v>No aplica</x:v>
      </x:c>
      <x:c r="R111" s="45" t="str"/>
      <x:c r="S111" s="45" t="str">
        <x:v>Gestionar observaciones originales y documentar verificación técnica posterior</x:v>
      </x:c>
      <x:c r="T111" s="45" t="str">
        <x:v>Intervención o verificación técnica; Corrosión / desgaste / deterioro</x:v>
      </x:c>
      <x:c r="U111" s="45" t="str">
        <x:v>S2, p. 5, ítem 107</x:v>
      </x:c>
      <x:c r="V111" s="45" t="str">
        <x:v>CAIMI-S2-107</x:v>
      </x:c>
    </x:row>
    <x:row r="112" ht="42" customHeight="1">
      <x:c r="A112" s="45" t="n">
        <x:v>108</x:v>
      </x:c>
      <x:c r="B112" s="45" t="str">
        <x:v>CAMA ELECTRICA</x:v>
      </x:c>
      <x:c r="C112" s="45" t="str">
        <x:v>LOS PINOS</x:v>
      </x:c>
      <x:c r="D112" s="50" t="str">
        <x:v>740L V01 , 08</x:v>
      </x:c>
      <x:c r="E112" s="50" t="str">
        <x:v>503449</x:v>
      </x:c>
      <x:c r="F112" s="50" t="str">
        <x:v>3250</x:v>
      </x:c>
      <x:c r="G112" s="45" t="str">
        <x:v>CAMA 2A</x:v>
      </x:c>
      <x:c r="H112" s="45" t="str">
        <x:v>CABLE DE CONTROL EN MAL ESTADO.FUNCIONA CON OBSERVACIONES</x:v>
      </x:c>
      <x:c r="I112" s="45" t="n">
        <x:v>5</x:v>
      </x:c>
      <x:c r="J112" s="45" t="str">
        <x:v>Operativo con observaciones</x:v>
      </x:c>
      <x:c r="K112" s="45" t="str">
        <x:v>Operativo con observaciones</x:v>
      </x:c>
      <x:c r="L112" s="45" t="str">
        <x:v>CAMA 2A</x:v>
      </x:c>
      <x:c r="M112" s="45" t="str">
        <x:v>base</x:v>
      </x:c>
      <x:c r="N112" s="45" t="str">
        <x:v>CABLE DE CONTROL EN MAL ESTADO.FUNCIONA CON OBSERVACIONES</x:v>
      </x:c>
      <x:c r="O112" s="49" t="str">
        <x:v>No indicada</x:v>
      </x:c>
      <x:c r="P112" s="50" t="str">
        <x:v>No aplica</x:v>
      </x:c>
      <x:c r="Q112" s="45" t="str">
        <x:v>No aplica</x:v>
      </x:c>
      <x:c r="R112" s="45" t="str"/>
      <x:c r="S112" s="45" t="str">
        <x:v>Gestionar observaciones originales y documentar verificación técnica posterior</x:v>
      </x:c>
      <x:c r="T112" s="45" t="str">
        <x:v>Intervención o verificación técnica</x:v>
      </x:c>
      <x:c r="U112" s="45" t="str">
        <x:v>S2, p. 5, ítem 108</x:v>
      </x:c>
      <x:c r="V112" s="45" t="str">
        <x:v>CAIMI-S2-108</x:v>
      </x:c>
    </x:row>
    <x:row r="113" ht="42" customHeight="1">
      <x:c r="A113" s="45" t="n">
        <x:v>109</x:v>
      </x:c>
      <x:c r="B113" s="45" t="str">
        <x:v>CAMA ELECTRICA</x:v>
      </x:c>
      <x:c r="C113" s="45" t="str">
        <x:v>LOS PINOS</x:v>
      </x:c>
      <x:c r="D113" s="50" t="str">
        <x:v>740L V01 , 08</x:v>
      </x:c>
      <x:c r="E113" s="50" t="str">
        <x:v>503396</x:v>
      </x:c>
      <x:c r="F113" s="50" t="str">
        <x:v>3253</x:v>
      </x:c>
      <x:c r="G113" s="45" t="str">
        <x:v>CAMA 2B</x:v>
      </x:c>
      <x:c r="H113" s="45" t="str">
        <x:v>CABLE CRISTALIZADO EN SU ENCAUCHETADO, FUNCIONA CON OBSERVACIONES</x:v>
      </x:c>
      <x:c r="I113" s="45" t="n">
        <x:v>5</x:v>
      </x:c>
      <x:c r="J113" s="45" t="str">
        <x:v>Operativo con observaciones</x:v>
      </x:c>
      <x:c r="K113" s="45" t="str">
        <x:v>Operativo con observaciones</x:v>
      </x:c>
      <x:c r="L113" s="45" t="str">
        <x:v>CAMA 2B</x:v>
      </x:c>
      <x:c r="M113" s="45" t="str">
        <x:v>base</x:v>
      </x:c>
      <x:c r="N113" s="45" t="str">
        <x:v>CABLE CRISTALIZADO EN SU ENCAUCHETADO, FUNCIONA CON OBSERVACIONES</x:v>
      </x:c>
      <x:c r="O113" s="49" t="str">
        <x:v>No indicada</x:v>
      </x:c>
      <x:c r="P113" s="50" t="str">
        <x:v>No aplica</x:v>
      </x:c>
      <x:c r="Q113" s="45" t="str">
        <x:v>No aplica</x:v>
      </x:c>
      <x:c r="R113" s="45" t="str"/>
      <x:c r="S113" s="45" t="str">
        <x:v>Gestionar observaciones originales y documentar verificación técnica posterior</x:v>
      </x:c>
      <x:c r="T113" s="45" t="str">
        <x:v>Intervención o verificación técnica; Corrosión / desgaste / deterioro</x:v>
      </x:c>
      <x:c r="U113" s="45" t="str">
        <x:v>S2, p. 5, ítem 109</x:v>
      </x:c>
      <x:c r="V113" s="45" t="str">
        <x:v>CAIMI-S2-109</x:v>
      </x:c>
    </x:row>
    <x:row r="114" ht="42" customHeight="1">
      <x:c r="A114" s="45" t="n">
        <x:v>110</x:v>
      </x:c>
      <x:c r="B114" s="45" t="str">
        <x:v>CAMA ELECTRICA</x:v>
      </x:c>
      <x:c r="C114" s="45" t="str">
        <x:v>LOS PINOS</x:v>
      </x:c>
      <x:c r="D114" s="50" t="str">
        <x:v>740L V01 , 08</x:v>
      </x:c>
      <x:c r="E114" s="50" t="str">
        <x:v>503353</x:v>
      </x:c>
      <x:c r="F114" s="50" t="str">
        <x:v>3251</x:v>
      </x:c>
      <x:c r="G114" s="45" t="str">
        <x:v>CAMA 3A</x:v>
      </x:c>
      <x:c r="H114" s="45" t="str">
        <x:v>FALTA CABLE AC, PRESENTA CONTRL EN MAL ESTADO. EQUIPO OPERATIVO CON OBSERVACIONES</x:v>
      </x:c>
      <x:c r="I114" s="45" t="n">
        <x:v>5</x:v>
      </x:c>
      <x:c r="J114" s="45" t="str">
        <x:v>Operativo con observaciones</x:v>
      </x:c>
      <x:c r="K114" s="45" t="str">
        <x:v>Operativo con observaciones</x:v>
      </x:c>
      <x:c r="L114" s="45" t="str">
        <x:v>CAMA 3A</x:v>
      </x:c>
      <x:c r="M114" s="45" t="str">
        <x:v>base</x:v>
      </x:c>
      <x:c r="N114" s="45" t="str">
        <x:v>FALTA CABLE AC, PRESENTA CONTRL EN MAL ESTADO. EQUIPO OPERATIVO CON OBSERVACIONES</x:v>
      </x:c>
      <x:c r="O114" s="49" t="str">
        <x:v>No indicada</x:v>
      </x:c>
      <x:c r="P114" s="50" t="str">
        <x:v>No aplica</x:v>
      </x:c>
      <x:c r="Q114" s="45" t="str">
        <x:v>No aplica</x:v>
      </x:c>
      <x:c r="R114" s="45" t="str"/>
      <x:c r="S114" s="45" t="str">
        <x:v>Gestionar observaciones originales y documentar verificación técnica posterior</x:v>
      </x:c>
      <x:c r="T114" s="45" t="str">
        <x:v>Intervención o verificación técnica</x:v>
      </x:c>
      <x:c r="U114" s="45" t="str">
        <x:v>S2, p. 5, ítem 110</x:v>
      </x:c>
      <x:c r="V114" s="45" t="str">
        <x:v>CAIMI-S2-110</x:v>
      </x:c>
    </x:row>
    <x:row r="115" ht="42" customHeight="1">
      <x:c r="A115" s="45" t="n">
        <x:v>111</x:v>
      </x:c>
      <x:c r="B115" s="45" t="str">
        <x:v>CAMA ELECTRICA</x:v>
      </x:c>
      <x:c r="C115" s="45" t="str">
        <x:v>LOS PINOS</x:v>
      </x:c>
      <x:c r="D115" s="50" t="str">
        <x:v>740L V01 , 08</x:v>
      </x:c>
      <x:c r="E115" s="50" t="str">
        <x:v>503440</x:v>
      </x:c>
      <x:c r="F115" s="50" t="str">
        <x:v>3304</x:v>
      </x:c>
      <x:c r="G115" s="45" t="str">
        <x:v>CAMA 3B</x:v>
      </x:c>
      <x:c r="H115" s="45" t="str">
        <x:v>CABLE DEL CONTROL EN MAL ESTADO . FUNCIONA CON OBSERVACIONES</x:v>
      </x:c>
      <x:c r="I115" s="45" t="n">
        <x:v>5</x:v>
      </x:c>
      <x:c r="J115" s="45" t="str">
        <x:v>Operativo con observaciones</x:v>
      </x:c>
      <x:c r="K115" s="45" t="str">
        <x:v>Operativo con observaciones</x:v>
      </x:c>
      <x:c r="L115" s="45" t="str">
        <x:v>CAMA 3B</x:v>
      </x:c>
      <x:c r="M115" s="45" t="str">
        <x:v>base</x:v>
      </x:c>
      <x:c r="N115" s="45" t="str">
        <x:v>CABLE DEL CONTROL EN MAL ESTADO . FUNCIONA CON OBSERVACIONES</x:v>
      </x:c>
      <x:c r="O115" s="49" t="str">
        <x:v>No indicada</x:v>
      </x:c>
      <x:c r="P115" s="50" t="str">
        <x:v>No aplica</x:v>
      </x:c>
      <x:c r="Q115" s="45" t="str">
        <x:v>No aplica</x:v>
      </x:c>
      <x:c r="R115" s="45" t="str"/>
      <x:c r="S115" s="45" t="str">
        <x:v>Gestionar observaciones originales y documentar verificación técnica posterior</x:v>
      </x:c>
      <x:c r="T115" s="45" t="str">
        <x:v>Intervención o verificación técnica</x:v>
      </x:c>
      <x:c r="U115" s="45" t="str">
        <x:v>S2, p. 5, ítem 111</x:v>
      </x:c>
      <x:c r="V115" s="45" t="str">
        <x:v>CAIMI-S2-111</x:v>
      </x:c>
    </x:row>
    <x:row r="116" ht="42" customHeight="1">
      <x:c r="A116" s="45" t="n">
        <x:v>112</x:v>
      </x:c>
      <x:c r="B116" s="45" t="str">
        <x:v>CAMA ELECTRICA</x:v>
      </x:c>
      <x:c r="C116" s="45" t="str">
        <x:v>MUBI</x:v>
      </x:c>
      <x:c r="D116" s="50" t="str">
        <x:v>LYNIX</x:v>
      </x:c>
      <x:c r="E116" s="50" t="str">
        <x:v>69445</x:v>
      </x:c>
      <x:c r="F116" s="50" t="str">
        <x:v>6284</x:v>
      </x:c>
      <x:c r="G116" s="45" t="str">
        <x:v>CAMA 4B</x:v>
      </x:c>
      <x:c r="H116" s="45" t="str">
        <x:v>REQUIERE BATERIA DE RESPALDO, PRESENTA CORROSION EN LA BISAGRA DEL PIECERO.OPERATIVO CON OBSERVACIONES</x:v>
      </x:c>
      <x:c r="I116" s="45" t="n">
        <x:v>5</x:v>
      </x:c>
      <x:c r="J116" s="45" t="str">
        <x:v>Operativo con observaciones</x:v>
      </x:c>
      <x:c r="K116" s="45" t="str">
        <x:v>Operativo con observaciones</x:v>
      </x:c>
      <x:c r="L116" s="45" t="str">
        <x:v>CAMA 4B</x:v>
      </x:c>
      <x:c r="M116" s="45" t="str">
        <x:v>base</x:v>
      </x:c>
      <x:c r="N116" s="45" t="str">
        <x:v>REQUIERE BATERIA DE RESPALDO, PRESENTA CORROSION EN LA BISAGRA DEL PIECERO.OPERATIVO CON OBSERVACIONES</x:v>
      </x:c>
      <x:c r="O116" s="49" t="str">
        <x:v>No indicada</x:v>
      </x:c>
      <x:c r="P116" s="50" t="str">
        <x:v>No aplica</x:v>
      </x:c>
      <x:c r="Q116" s="45" t="str">
        <x:v>No aplica</x:v>
      </x:c>
      <x:c r="R116" s="45" t="str"/>
      <x:c r="S116" s="45" t="str">
        <x:v>Gestionar observaciones originales y documentar verificación técnica posterior</x:v>
      </x:c>
      <x:c r="T116" s="45" t="str">
        <x:v>Intervención o verificación técnica; Baterías / autonomía; Corrosión / desgaste / deterioro</x:v>
      </x:c>
      <x:c r="U116" s="45" t="str">
        <x:v>S2, p. 5, ítem 112</x:v>
      </x:c>
      <x:c r="V116" s="45" t="str">
        <x:v>CAIMI-S2-112</x:v>
      </x:c>
    </x:row>
    <x:row r="117" ht="42" customHeight="1">
      <x:c r="A117" s="45" t="n">
        <x:v>113</x:v>
      </x:c>
      <x:c r="B117" s="45" t="str">
        <x:v>CAMA ELECTRICA</x:v>
      </x:c>
      <x:c r="C117" s="45" t="str">
        <x:v>MUBI</x:v>
      </x:c>
      <x:c r="D117" s="50" t="str">
        <x:v>LYNIX</x:v>
      </x:c>
      <x:c r="E117" s="50" t="str">
        <x:v>69439</x:v>
      </x:c>
      <x:c r="F117" s="50" t="str">
        <x:v>6271</x:v>
      </x:c>
      <x:c r="G117" s="45" t="str">
        <x:v>CAMA 4A</x:v>
      </x:c>
      <x:c r="H117" s="45" t="str">
        <x:v>OPERATIVO EN EL SERVICIO</x:v>
      </x:c>
      <x:c r="I117" s="45" t="n">
        <x:v>5</x:v>
      </x:c>
      <x:c r="J117" s="45" t="str">
        <x:v>Operativo explícito sin incidencia pendiente consignada</x:v>
      </x:c>
      <x:c r="K117" s="45" t="str">
        <x:v>Operativo explícito sin incidencia pendiente consignada</x:v>
      </x:c>
      <x:c r="L117" s="45" t="str">
        <x:v>CAMA 4A</x:v>
      </x:c>
      <x:c r="M117" s="45" t="str">
        <x:v>base</x:v>
      </x:c>
      <x:c r="N117" s="45" t="str">
        <x:v>OPERATIVO EN EL SERVICIO</x:v>
      </x:c>
      <x:c r="O117" s="49" t="str">
        <x:v>No indicada</x:v>
      </x:c>
      <x:c r="P117" s="50" t="str">
        <x:v>No aplica</x:v>
      </x:c>
      <x:c r="Q117" s="45" t="str">
        <x:v>No aplica</x:v>
      </x:c>
      <x:c r="R117" s="45" t="str"/>
      <x:c r="S117" s="45" t="str">
        <x:v>Mantener seguimiento preventivo institucional</x:v>
      </x:c>
      <x:c r="T117" s="45" t="str"/>
      <x:c r="U117" s="45" t="str">
        <x:v>S2, p. 5, ítem 113</x:v>
      </x:c>
      <x:c r="V117" s="45" t="str">
        <x:v>CAIMI-S2-113</x:v>
      </x:c>
    </x:row>
    <x:row r="118" ht="42" customHeight="1">
      <x:c r="A118" s="45" t="n">
        <x:v>114</x:v>
      </x:c>
      <x:c r="B118" s="45" t="str">
        <x:v>CUNA PEDIÁTRICA</x:v>
      </x:c>
      <x:c r="C118" s="45" t="str">
        <x:v>MUBI</x:v>
      </x:c>
      <x:c r="D118" s="50" t="str">
        <x:v>POLARIX</x:v>
      </x:c>
      <x:c r="E118" s="50" t="str">
        <x:v>69532</x:v>
      </x:c>
      <x:c r="F118" s="50" t="str">
        <x:v>6288</x:v>
      </x:c>
      <x:c r="G118" s="45" t="str">
        <x:v>CAMA 5A</x:v>
      </x:c>
      <x:c r="H118" s="45" t="str">
        <x:v>REQUIERE BATERIA DE RESPALDO, FUCNIONA CON OBSERVACIONES</x:v>
      </x:c>
      <x:c r="I118" s="45" t="n">
        <x:v>5</x:v>
      </x:c>
      <x:c r="J118" s="45" t="str">
        <x:v>Operativo con observaciones</x:v>
      </x:c>
      <x:c r="K118" s="45" t="str">
        <x:v>Operativo con observaciones</x:v>
      </x:c>
      <x:c r="L118" s="45" t="str">
        <x:v>CAMA 5A</x:v>
      </x:c>
      <x:c r="M118" s="45" t="str">
        <x:v>base</x:v>
      </x:c>
      <x:c r="N118" s="45" t="str">
        <x:v>REQUIERE BATERIA DE RESPALDO, FUCNIONA CON OBSERVACIONES</x:v>
      </x:c>
      <x:c r="O118" s="49" t="str">
        <x:v>No indicada</x:v>
      </x:c>
      <x:c r="P118" s="50" t="str">
        <x:v>No aplica</x:v>
      </x:c>
      <x:c r="Q118" s="45" t="str">
        <x:v>No aplica</x:v>
      </x:c>
      <x:c r="R118" s="45" t="str"/>
      <x:c r="S118" s="45" t="str">
        <x:v>Gestionar observaciones originales y documentar verificación técnica posterior</x:v>
      </x:c>
      <x:c r="T118" s="45" t="str">
        <x:v>Intervención o verificación técnica; Baterías / autonomía</x:v>
      </x:c>
      <x:c r="U118" s="45" t="str">
        <x:v>S2, p. 5, ítem 114</x:v>
      </x:c>
      <x:c r="V118" s="45" t="str">
        <x:v>CAIMI-S2-114</x:v>
      </x:c>
    </x:row>
    <x:row r="119" ht="42" customHeight="1">
      <x:c r="A119" s="45" t="n">
        <x:v>115</x:v>
      </x:c>
      <x:c r="B119" s="45" t="str">
        <x:v>CUNA PEDIÁTRICA</x:v>
      </x:c>
      <x:c r="C119" s="45" t="str">
        <x:v>MUBI</x:v>
      </x:c>
      <x:c r="D119" s="50" t="str">
        <x:v>POLARIX</x:v>
      </x:c>
      <x:c r="E119" s="50" t="str">
        <x:v>69534</x:v>
      </x:c>
      <x:c r="F119" s="50" t="str">
        <x:v>6292</x:v>
      </x:c>
      <x:c r="G119" s="45" t="str">
        <x:v>CAMA 5B</x:v>
      </x:c>
      <x:c r="H119" s="45" t="str">
        <x:v>CABLE AC NO SE UBICO Y REQUIERE BATERIA.FUNCIONA CON OBSERVACIONES</x:v>
      </x:c>
      <x:c r="I119" s="45" t="n">
        <x:v>6</x:v>
      </x:c>
      <x:c r="J119" s="45" t="str">
        <x:v>Operativo con observaciones</x:v>
      </x:c>
      <x:c r="K119" s="45" t="str">
        <x:v>Operativo con observaciones</x:v>
      </x:c>
      <x:c r="L119" s="45" t="str">
        <x:v>CAMA 5B</x:v>
      </x:c>
      <x:c r="M119" s="45" t="str">
        <x:v>base</x:v>
      </x:c>
      <x:c r="N119" s="45" t="str">
        <x:v>CABLE AC NO SE UBICO Y REQUIERE BATERIA.FUNCIONA CON OBSERVACIONES</x:v>
      </x:c>
      <x:c r="O119" s="49" t="str">
        <x:v>No indicada</x:v>
      </x:c>
      <x:c r="P119" s="50" t="str">
        <x:v>No aplica</x:v>
      </x:c>
      <x:c r="Q119" s="45" t="str">
        <x:v>No aplica</x:v>
      </x:c>
      <x:c r="R119" s="45" t="str"/>
      <x:c r="S119" s="45" t="str">
        <x:v>Gestionar observaciones originales y documentar verificación técnica posterior</x:v>
      </x:c>
      <x:c r="T119" s="45" t="str">
        <x:v>Intervención o verificación técnica; Baterías / autonomía</x:v>
      </x:c>
      <x:c r="U119" s="45" t="str">
        <x:v>S2, p. 6, ítem 115</x:v>
      </x:c>
      <x:c r="V119" s="45" t="str">
        <x:v>CAIMI-S2-115</x:v>
      </x:c>
    </x:row>
    <x:row r="120" ht="42" customHeight="1">
      <x:c r="A120" s="45" t="n">
        <x:v>116</x:v>
      </x:c>
      <x:c r="B120" s="45" t="str">
        <x:v>CUNA PEDIÁTRICA</x:v>
      </x:c>
      <x:c r="C120" s="45" t="str">
        <x:v>MUBI</x:v>
      </x:c>
      <x:c r="D120" s="50" t="str">
        <x:v>POLARIX</x:v>
      </x:c>
      <x:c r="E120" s="50" t="str">
        <x:v>69531</x:v>
      </x:c>
      <x:c r="F120" s="50" t="str">
        <x:v>6290</x:v>
      </x:c>
      <x:c r="G120" s="45" t="str">
        <x:v>CAMA 5C</x:v>
      </x:c>
      <x:c r="H120" s="45" t="str">
        <x:v>EQUIPO OPERATIVO EN EL SERVICIO</x:v>
      </x:c>
      <x:c r="I120" s="45" t="n">
        <x:v>6</x:v>
      </x:c>
      <x:c r="J120" s="45" t="str">
        <x:v>Operativo explícito sin incidencia pendiente consignada</x:v>
      </x:c>
      <x:c r="K120" s="45" t="str">
        <x:v>Operativo explícito sin incidencia pendiente consignada</x:v>
      </x:c>
      <x:c r="L120" s="45" t="str">
        <x:v>CAMA 5C</x:v>
      </x:c>
      <x:c r="M120" s="45" t="str">
        <x:v>base</x:v>
      </x:c>
      <x:c r="N120" s="45" t="str">
        <x:v>EQUIPO OPERATIVO EN EL SERVICIO</x:v>
      </x:c>
      <x:c r="O120" s="49" t="str">
        <x:v>No indicada</x:v>
      </x:c>
      <x:c r="P120" s="50" t="str">
        <x:v>No aplica</x:v>
      </x:c>
      <x:c r="Q120" s="45" t="str">
        <x:v>No aplica</x:v>
      </x:c>
      <x:c r="R120" s="45" t="str"/>
      <x:c r="S120" s="45" t="str">
        <x:v>Mantener seguimiento preventivo institucional</x:v>
      </x:c>
      <x:c r="T120" s="45" t="str"/>
      <x:c r="U120" s="45" t="str">
        <x:v>S2, p. 6, ítem 116</x:v>
      </x:c>
      <x:c r="V120" s="45" t="str">
        <x:v>CAIMI-S2-116</x:v>
      </x:c>
    </x:row>
    <x:row r="121" ht="42" customHeight="1">
      <x:c r="A121" s="45" t="n">
        <x:v>117</x:v>
      </x:c>
      <x:c r="B121" s="45" t="str">
        <x:v>CUNA PEDIÁTRICA</x:v>
      </x:c>
      <x:c r="C121" s="45" t="str">
        <x:v>LOS PINOS</x:v>
      </x:c>
      <x:c r="D121" s="50" t="str">
        <x:v>740P V10</x:v>
      </x:c>
      <x:c r="E121" s="50" t="str">
        <x:v>500201</x:v>
      </x:c>
      <x:c r="F121" s="50" t="str">
        <x:v>1000</x:v>
      </x:c>
      <x:c r="G121" s="45" t="str">
        <x:v>CAMA 5C</x:v>
      </x:c>
      <x:c r="H121" s="45" t="str">
        <x:v>CABLE DEL CONTROL EN MAL ESTADO . FUNCIONA CON OBSERVACIONES</x:v>
      </x:c>
      <x:c r="I121" s="45" t="n">
        <x:v>6</x:v>
      </x:c>
      <x:c r="J121" s="45" t="str">
        <x:v>Operativo con observaciones</x:v>
      </x:c>
      <x:c r="K121" s="45" t="str">
        <x:v>Operativo con observaciones</x:v>
      </x:c>
      <x:c r="L121" s="45" t="str">
        <x:v>CAMA 5C</x:v>
      </x:c>
      <x:c r="M121" s="45" t="str">
        <x:v>base</x:v>
      </x:c>
      <x:c r="N121" s="45" t="str">
        <x:v>CABLE DEL CONTROL EN MAL ESTADO . FUNCIONA CON OBSERVACIONES</x:v>
      </x:c>
      <x:c r="O121" s="49" t="str">
        <x:v>No indicada</x:v>
      </x:c>
      <x:c r="P121" s="50" t="str">
        <x:v>No aplica</x:v>
      </x:c>
      <x:c r="Q121" s="45" t="str">
        <x:v>No aplica</x:v>
      </x:c>
      <x:c r="R121" s="45" t="str"/>
      <x:c r="S121" s="45" t="str">
        <x:v>Gestionar observaciones originales y documentar verificación técnica posterior</x:v>
      </x:c>
      <x:c r="T121" s="45" t="str">
        <x:v>Intervención o verificación técnica</x:v>
      </x:c>
      <x:c r="U121" s="45" t="str">
        <x:v>S2, p. 6, ítem 117</x:v>
      </x:c>
      <x:c r="V121" s="45" t="str">
        <x:v>CAIMI-S2-117</x:v>
      </x:c>
    </x:row>
    <x:row r="122" ht="42" customHeight="1">
      <x:c r="A122" s="45" t="n">
        <x:v>118</x:v>
      </x:c>
      <x:c r="B122" s="45" t="str">
        <x:v>CUNA PEDIÁTRICA</x:v>
      </x:c>
      <x:c r="C122" s="45" t="str">
        <x:v>LOS PINOS</x:v>
      </x:c>
      <x:c r="D122" s="50" t="str">
        <x:v>740P V11</x:v>
      </x:c>
      <x:c r="E122" s="50" t="str">
        <x:v>503362</x:v>
      </x:c>
      <x:c r="F122" s="50" t="str">
        <x:v>3921</x:v>
      </x:c>
      <x:c r="G122" s="45" t="str">
        <x:v>CAMA 5D</x:v>
      </x:c>
      <x:c r="H122" s="45" t="str">
        <x:v>REQUIERE CABLE AC, CONTROL DE MANDO Y PRESENTA TELESCOPICA CON DEFLEXION</x:v>
      </x:c>
      <x:c r="I122" s="45" t="n">
        <x:v>6</x:v>
      </x:c>
      <x:c r="J122" s="45" t="str">
        <x:v>Condición técnica por verificar</x:v>
      </x:c>
      <x:c r="K122" s="45" t="str">
        <x:v>Condición técnica por verificar</x:v>
      </x:c>
      <x:c r="L122" s="45" t="str">
        <x:v>CAMA 5D</x:v>
      </x:c>
      <x:c r="M122" s="45" t="str">
        <x:v>base</x:v>
      </x:c>
      <x:c r="N122" s="45" t="str">
        <x:v>REQUIERE CABLE AC, CONTROL DE MANDO Y PRESENTA TELESCOPICA CON DEFLEXION</x:v>
      </x:c>
      <x:c r="O122" s="49" t="str">
        <x:v>No indicada</x:v>
      </x:c>
      <x:c r="P122" s="50" t="str">
        <x:v>No aplica</x:v>
      </x:c>
      <x:c r="Q122" s="45" t="str">
        <x:v>No aplica</x:v>
      </x:c>
      <x:c r="R122" s="45" t="str"/>
      <x:c r="S122" s="45" t="str">
        <x:v>Gestionar observaciones originales y documentar verificación técnica posterior</x:v>
      </x:c>
      <x:c r="T122" s="45" t="str">
        <x:v>Intervención o verificación técnica</x:v>
      </x:c>
      <x:c r="U122" s="45" t="str">
        <x:v>S2, p. 6, ítem 118</x:v>
      </x:c>
      <x:c r="V122" s="45" t="str">
        <x:v>CAIMI-S2-118</x:v>
      </x:c>
    </x:row>
    <x:row r="123" ht="42" customHeight="1">
      <x:c r="A123" s="45" t="n">
        <x:v>119</x:v>
      </x:c>
      <x:c r="B123" s="45" t="str">
        <x:v>CUNA PEDIÁTRICA</x:v>
      </x:c>
      <x:c r="C123" s="45" t="str">
        <x:v>LOS PINOS</x:v>
      </x:c>
      <x:c r="D123" s="50" t="str">
        <x:v>740P V10</x:v>
      </x:c>
      <x:c r="E123" s="50" t="str">
        <x:v>500207</x:v>
      </x:c>
      <x:c r="F123" s="50" t="str">
        <x:v>1002</x:v>
      </x:c>
      <x:c r="G123" s="45" t="str">
        <x:v>CAMA 6A</x:v>
      </x:c>
      <x:c r="H123" s="45" t="str">
        <x:v>NO TIENE CABLE AC , CABLE ESPIRALADO CRISTALIZADO.FUNCIONA CON OBSERVACIONES</x:v>
      </x:c>
      <x:c r="I123" s="45" t="n">
        <x:v>6</x:v>
      </x:c>
      <x:c r="J123" s="45" t="str">
        <x:v>Operativo con observaciones</x:v>
      </x:c>
      <x:c r="K123" s="45" t="str">
        <x:v>Operativo con observaciones</x:v>
      </x:c>
      <x:c r="L123" s="45" t="str">
        <x:v>CAMA 6A</x:v>
      </x:c>
      <x:c r="M123" s="45" t="str">
        <x:v>base</x:v>
      </x:c>
      <x:c r="N123" s="45" t="str">
        <x:v>NO TIENE CABLE AC , CABLE ESPIRALADO CRISTALIZADO.FUNCIONA CON OBSERVACIONES</x:v>
      </x:c>
      <x:c r="O123" s="49" t="str">
        <x:v>No indicada</x:v>
      </x:c>
      <x:c r="P123" s="50" t="str">
        <x:v>No aplica</x:v>
      </x:c>
      <x:c r="Q123" s="45" t="str">
        <x:v>No aplica</x:v>
      </x:c>
      <x:c r="R123" s="45" t="str"/>
      <x:c r="S123" s="45" t="str">
        <x:v>Gestionar observaciones originales y documentar verificación técnica posterior</x:v>
      </x:c>
      <x:c r="T123" s="45" t="str">
        <x:v>Intervención o verificación técnica; Corrosión / desgaste / deterioro</x:v>
      </x:c>
      <x:c r="U123" s="45" t="str">
        <x:v>S2, p. 6, ítem 119</x:v>
      </x:c>
      <x:c r="V123" s="45" t="str">
        <x:v>CAIMI-S2-119</x:v>
      </x:c>
    </x:row>
    <x:row r="124" ht="42" customHeight="1">
      <x:c r="A124" s="45" t="n">
        <x:v>120</x:v>
      </x:c>
      <x:c r="B124" s="45" t="str">
        <x:v>CUNA PEDIÁTRICA</x:v>
      </x:c>
      <x:c r="C124" s="45" t="str">
        <x:v>MUBI</x:v>
      </x:c>
      <x:c r="D124" s="50" t="str">
        <x:v>POLARIX</x:v>
      </x:c>
      <x:c r="E124" s="50" t="str">
        <x:v>69530</x:v>
      </x:c>
      <x:c r="F124" s="50" t="str">
        <x:v>6291</x:v>
      </x:c>
      <x:c r="G124" s="45" t="str">
        <x:v>CAMA 6B</x:v>
      </x:c>
      <x:c r="H124" s="45" t="str">
        <x:v>NO TIENE CABLE AC , REQUIERE BATERIA DE RESPALDO.FUNCIONA CON OBSERVACIONES</x:v>
      </x:c>
      <x:c r="I124" s="45" t="n">
        <x:v>6</x:v>
      </x:c>
      <x:c r="J124" s="45" t="str">
        <x:v>Operativo con observaciones</x:v>
      </x:c>
      <x:c r="K124" s="45" t="str">
        <x:v>Operativo con observaciones</x:v>
      </x:c>
      <x:c r="L124" s="45" t="str">
        <x:v>CAMA 6B</x:v>
      </x:c>
      <x:c r="M124" s="45" t="str">
        <x:v>base</x:v>
      </x:c>
      <x:c r="N124" s="45" t="str">
        <x:v>NO TIENE CABLE AC , REQUIERE BATERIA DE RESPALDO.FUNCIONA CON OBSERVACIONES</x:v>
      </x:c>
      <x:c r="O124" s="49" t="str">
        <x:v>No indicada</x:v>
      </x:c>
      <x:c r="P124" s="50" t="str">
        <x:v>No aplica</x:v>
      </x:c>
      <x:c r="Q124" s="45" t="str">
        <x:v>No aplica</x:v>
      </x:c>
      <x:c r="R124" s="45" t="str"/>
      <x:c r="S124" s="45" t="str">
        <x:v>Gestionar observaciones originales y documentar verificación técnica posterior</x:v>
      </x:c>
      <x:c r="T124" s="45" t="str">
        <x:v>Intervención o verificación técnica; Baterías / autonomía</x:v>
      </x:c>
      <x:c r="U124" s="45" t="str">
        <x:v>S2, p. 6, ítem 120</x:v>
      </x:c>
      <x:c r="V124" s="45" t="str">
        <x:v>CAIMI-S2-120</x:v>
      </x:c>
    </x:row>
    <x:row r="125" ht="54" customHeight="1">
      <x:c r="A125" s="45" t="n">
        <x:v>121</x:v>
      </x:c>
      <x:c r="B125" s="45" t="str">
        <x:v>CUNA PEDIÁTRICA</x:v>
      </x:c>
      <x:c r="C125" s="45" t="str">
        <x:v>LOS PINOS</x:v>
      </x:c>
      <x:c r="D125" s="50" t="str">
        <x:v>740P V10</x:v>
      </x:c>
      <x:c r="E125" s="50" t="str">
        <x:v>500206</x:v>
      </x:c>
      <x:c r="F125" s="50" t="str">
        <x:v>1001</x:v>
      </x:c>
      <x:c r="G125" s="45" t="str">
        <x:v>CAMA 6C</x:v>
      </x:c>
      <x:c r="H125" s="45" t="str">
        <x:v>FALTA CONTROL SE ENCUENTRA ARRANCACADO DE MODULO, NO TIENE PASADOR UNA BARANDA.PRESENTA CORROSION EN LA BASE Y NO TIENE CABLE AC. FUNCIONA CON OBSERVACIONES</x:v>
      </x:c>
      <x:c r="I125" s="45" t="n">
        <x:v>6</x:v>
      </x:c>
      <x:c r="J125" s="45" t="str">
        <x:v>Operativo con observaciones</x:v>
      </x:c>
      <x:c r="K125" s="45" t="str">
        <x:v>Operativo con observaciones</x:v>
      </x:c>
      <x:c r="L125" s="45" t="str">
        <x:v>CAMA 6C</x:v>
      </x:c>
      <x:c r="M125" s="45" t="str">
        <x:v>base</x:v>
      </x:c>
      <x:c r="N125" s="45" t="str">
        <x:v>FALTA CONTROL SE ENCUENTRA ARRANCACADO DE MODULO, NO TIENE PASADOR UNA BARANDA.PRESENTA CORROSION EN LA BASE Y NO TIENE CABLE AC. FUNCIONA CON OBSERVACIONES</x:v>
      </x:c>
      <x:c r="O125" s="49" t="str">
        <x:v>No indicada</x:v>
      </x:c>
      <x:c r="P125" s="50" t="str">
        <x:v>No aplica</x:v>
      </x:c>
      <x:c r="Q125" s="45" t="str">
        <x:v>No aplica</x:v>
      </x:c>
      <x:c r="R125" s="45" t="str"/>
      <x:c r="S125" s="45" t="str">
        <x:v>Gestionar observaciones originales y documentar verificación técnica posterior</x:v>
      </x:c>
      <x:c r="T125" s="45" t="str">
        <x:v>Intervención o verificación técnica; Corrosión / desgaste / deterioro</x:v>
      </x:c>
      <x:c r="U125" s="45" t="str">
        <x:v>S2, p. 6, ítem 121</x:v>
      </x:c>
      <x:c r="V125" s="45" t="str">
        <x:v>CAIMI-S2-121</x:v>
      </x:c>
    </x:row>
    <x:row r="126" ht="42" customHeight="1">
      <x:c r="A126" s="45" t="n">
        <x:v>122</x:v>
      </x:c>
      <x:c r="B126" s="45" t="str">
        <x:v>CUNA PEDIÁTRICA</x:v>
      </x:c>
      <x:c r="C126" s="45" t="str">
        <x:v>MUBI</x:v>
      </x:c>
      <x:c r="D126" s="50" t="str">
        <x:v>POLARIX</x:v>
      </x:c>
      <x:c r="E126" s="50" t="str">
        <x:v>69533</x:v>
      </x:c>
      <x:c r="F126" s="50" t="str">
        <x:v>6289</x:v>
      </x:c>
      <x:c r="G126" s="45" t="str">
        <x:v>CAMA 6C</x:v>
      </x:c>
      <x:c r="H126" s="45" t="str">
        <x:v>EQUIPO OPERATIVO EN EL SERVICIO</x:v>
      </x:c>
      <x:c r="I126" s="45" t="n">
        <x:v>6</x:v>
      </x:c>
      <x:c r="J126" s="45" t="str">
        <x:v>Operativo explícito sin incidencia pendiente consignada</x:v>
      </x:c>
      <x:c r="K126" s="45" t="str">
        <x:v>Operativo explícito sin incidencia pendiente consignada</x:v>
      </x:c>
      <x:c r="L126" s="45" t="str">
        <x:v>CAMA 6C</x:v>
      </x:c>
      <x:c r="M126" s="45" t="str">
        <x:v>base</x:v>
      </x:c>
      <x:c r="N126" s="45" t="str">
        <x:v>EQUIPO OPERATIVO EN EL SERVICIO</x:v>
      </x:c>
      <x:c r="O126" s="49" t="str">
        <x:v>No indicada</x:v>
      </x:c>
      <x:c r="P126" s="50" t="str">
        <x:v>No aplica</x:v>
      </x:c>
      <x:c r="Q126" s="45" t="str">
        <x:v>No aplica</x:v>
      </x:c>
      <x:c r="R126" s="45" t="str"/>
      <x:c r="S126" s="45" t="str">
        <x:v>Mantener seguimiento preventivo institucional</x:v>
      </x:c>
      <x:c r="T126" s="45" t="str"/>
      <x:c r="U126" s="45" t="str">
        <x:v>S2, p. 6, ítem 122</x:v>
      </x:c>
      <x:c r="V126" s="45" t="str">
        <x:v>CAIMI-S2-122</x:v>
      </x:c>
    </x:row>
    <x:row r="127" ht="42" customHeight="1">
      <x:c r="A127" s="45" t="n">
        <x:v>123</x:v>
      </x:c>
      <x:c r="B127" s="45" t="str">
        <x:v>CUNA PEDIÁTRICA</x:v>
      </x:c>
      <x:c r="C127" s="45" t="str">
        <x:v>MUBI</x:v>
      </x:c>
      <x:c r="D127" s="50" t="str">
        <x:v>POLARIX</x:v>
      </x:c>
      <x:c r="E127" s="50" t="str">
        <x:v>69537</x:v>
      </x:c>
      <x:c r="F127" s="50" t="str">
        <x:v>6287</x:v>
      </x:c>
      <x:c r="G127" s="45" t="str">
        <x:v>CAMA 6D</x:v>
      </x:c>
      <x:c r="H127" s="45" t="str">
        <x:v>OPERATIVO EN EL SERVICIO</x:v>
      </x:c>
      <x:c r="I127" s="45" t="n">
        <x:v>6</x:v>
      </x:c>
      <x:c r="J127" s="45" t="str">
        <x:v>Operativo explícito sin incidencia pendiente consignada</x:v>
      </x:c>
      <x:c r="K127" s="45" t="str">
        <x:v>Operativo explícito sin incidencia pendiente consignada</x:v>
      </x:c>
      <x:c r="L127" s="45" t="str">
        <x:v>CAMA 6D</x:v>
      </x:c>
      <x:c r="M127" s="45" t="str">
        <x:v>base</x:v>
      </x:c>
      <x:c r="N127" s="45" t="str">
        <x:v>OPERATIVO EN EL SERVICIO</x:v>
      </x:c>
      <x:c r="O127" s="49" t="str">
        <x:v>No indicada</x:v>
      </x:c>
      <x:c r="P127" s="50" t="str">
        <x:v>No aplica</x:v>
      </x:c>
      <x:c r="Q127" s="45" t="str">
        <x:v>No aplica</x:v>
      </x:c>
      <x:c r="R127" s="45" t="str"/>
      <x:c r="S127" s="45" t="str">
        <x:v>Mantener seguimiento preventivo institucional</x:v>
      </x:c>
      <x:c r="T127" s="45" t="str"/>
      <x:c r="U127" s="45" t="str">
        <x:v>S2, p. 6, ítem 123</x:v>
      </x:c>
      <x:c r="V127" s="45" t="str">
        <x:v>CAIMI-S2-123</x:v>
      </x:c>
    </x:row>
    <x:row r="128" ht="42" customHeight="1">
      <x:c r="A128" s="45" t="n">
        <x:v>124</x:v>
      </x:c>
      <x:c r="B128" s="45" t="str">
        <x:v>LÁMPARA DE EXAMEN</x:v>
      </x:c>
      <x:c r="C128" s="45" t="str">
        <x:v>WELCH ALLYN</x:v>
      </x:c>
      <x:c r="D128" s="50" t="str">
        <x:v>GS-300</x:v>
      </x:c>
      <x:c r="E128" s="50" t="str">
        <x:v>NR</x:v>
      </x:c>
      <x:c r="F128" s="50" t="str">
        <x:v>3221</x:v>
      </x:c>
      <x:c r="G128" s="45" t="str">
        <x:v>ESTACIÓN</x:v>
      </x:c>
      <x:c r="H128" s="45" t="str">
        <x:v>EQUIPO OPERATIVO EN EL SERVICIO</x:v>
      </x:c>
      <x:c r="I128" s="45" t="n">
        <x:v>6</x:v>
      </x:c>
      <x:c r="J128" s="45" t="str">
        <x:v>Operativo explícito sin incidencia pendiente consignada</x:v>
      </x:c>
      <x:c r="K128" s="45" t="str">
        <x:v>Operativo explícito sin incidencia pendiente consignada</x:v>
      </x:c>
      <x:c r="L128" s="45" t="str">
        <x:v>ESTACIÓN</x:v>
      </x:c>
      <x:c r="M128" s="45" t="str">
        <x:v>base</x:v>
      </x:c>
      <x:c r="N128" s="45" t="str">
        <x:v>EQUIPO OPERATIVO EN EL SERVICIO</x:v>
      </x:c>
      <x:c r="O128" s="49" t="str">
        <x:v>No indicada</x:v>
      </x:c>
      <x:c r="P128" s="50" t="str">
        <x:v>No aplica</x:v>
      </x:c>
      <x:c r="Q128" s="45" t="str">
        <x:v>No aplica</x:v>
      </x:c>
      <x:c r="R128" s="45" t="str"/>
      <x:c r="S128" s="45" t="str">
        <x:v>Mantener seguimiento preventivo institucional</x:v>
      </x:c>
      <x:c r="T128" s="45" t="str"/>
      <x:c r="U128" s="45" t="str">
        <x:v>S2, p. 6, ítem 124</x:v>
      </x:c>
      <x:c r="V128" s="45" t="str">
        <x:v>CAIMI-S2-124</x:v>
      </x:c>
    </x:row>
    <x:row r="129" ht="42" customHeight="1">
      <x:c r="A129" s="45" t="n">
        <x:v>125</x:v>
      </x:c>
      <x:c r="B129" s="45" t="str">
        <x:v>CAMA ELECTRICA</x:v>
      </x:c>
      <x:c r="C129" s="45" t="str">
        <x:v>MUBI</x:v>
      </x:c>
      <x:c r="D129" s="50" t="str">
        <x:v>LYNIX</x:v>
      </x:c>
      <x:c r="E129" s="50" t="str">
        <x:v>69442</x:v>
      </x:c>
      <x:c r="F129" s="50" t="str">
        <x:v>6276</x:v>
      </x:c>
      <x:c r="G129" s="45" t="str">
        <x:v>CAMA 7</x:v>
      </x:c>
      <x:c r="H129" s="45" t="str">
        <x:v>FUNCIONA CORRECTAMENTE, FALTA CABLE AC</x:v>
      </x:c>
      <x:c r="I129" s="45" t="n">
        <x:v>6</x:v>
      </x:c>
      <x:c r="J129" s="45" t="str">
        <x:v>Operativo con observaciones</x:v>
      </x:c>
      <x:c r="K129" s="45" t="str">
        <x:v>Operativo con observaciones</x:v>
      </x:c>
      <x:c r="L129" s="45" t="str">
        <x:v>CAMA 7</x:v>
      </x:c>
      <x:c r="M129" s="45" t="str">
        <x:v>base</x:v>
      </x:c>
      <x:c r="N129" s="45" t="str">
        <x:v>FUNCIONA CORRECTAMENTE, FALTA CABLE AC</x:v>
      </x:c>
      <x:c r="O129" s="49" t="str">
        <x:v>No indicada</x:v>
      </x:c>
      <x:c r="P129" s="50" t="str">
        <x:v>No aplica</x:v>
      </x:c>
      <x:c r="Q129" s="45" t="str">
        <x:v>No aplica</x:v>
      </x:c>
      <x:c r="R129" s="45" t="str"/>
      <x:c r="S129" s="45" t="str">
        <x:v>Gestionar observaciones originales y documentar verificación técnica posterior</x:v>
      </x:c>
      <x:c r="T129" s="45" t="str">
        <x:v>Intervención o verificación técnica</x:v>
      </x:c>
      <x:c r="U129" s="45" t="str">
        <x:v>S2, p. 6, ítem 125</x:v>
      </x:c>
      <x:c r="V129" s="45" t="str">
        <x:v>CAIMI-S2-125</x:v>
      </x:c>
    </x:row>
    <x:row r="130" ht="42" customHeight="1">
      <x:c r="A130" s="45" t="n">
        <x:v>126</x:v>
      </x:c>
      <x:c r="B130" s="45" t="str">
        <x:v>CAMA ELECTRICA</x:v>
      </x:c>
      <x:c r="C130" s="45" t="str">
        <x:v>LOS PINOS</x:v>
      </x:c>
      <x:c r="D130" s="50" t="str">
        <x:v>740L V01 , 08</x:v>
      </x:c>
      <x:c r="E130" s="50" t="str">
        <x:v>503452</x:v>
      </x:c>
      <x:c r="F130" s="50" t="str">
        <x:v>3254</x:v>
      </x:c>
      <x:c r="G130" s="45" t="str">
        <x:v>CAMA 8B</x:v>
      </x:c>
      <x:c r="H130" s="45" t="str">
        <x:v>CABLE ESPIRALADO EN MAL ESTADO.FUNCIONA CON OBSERVACIONES</x:v>
      </x:c>
      <x:c r="I130" s="45" t="n">
        <x:v>6</x:v>
      </x:c>
      <x:c r="J130" s="45" t="str">
        <x:v>Operativo con observaciones</x:v>
      </x:c>
      <x:c r="K130" s="45" t="str">
        <x:v>Operativo con observaciones</x:v>
      </x:c>
      <x:c r="L130" s="45" t="str">
        <x:v>CAMA 8B</x:v>
      </x:c>
      <x:c r="M130" s="45" t="str">
        <x:v>base</x:v>
      </x:c>
      <x:c r="N130" s="45" t="str">
        <x:v>CABLE ESPIRALADO EN MAL ESTADO.FUNCIONA CON OBSERVACIONES</x:v>
      </x:c>
      <x:c r="O130" s="49" t="str">
        <x:v>No indicada</x:v>
      </x:c>
      <x:c r="P130" s="50" t="str">
        <x:v>No aplica</x:v>
      </x:c>
      <x:c r="Q130" s="45" t="str">
        <x:v>No aplica</x:v>
      </x:c>
      <x:c r="R130" s="45" t="str"/>
      <x:c r="S130" s="45" t="str">
        <x:v>Gestionar observaciones originales y documentar verificación técnica posterior</x:v>
      </x:c>
      <x:c r="T130" s="45" t="str">
        <x:v>Intervención o verificación técnica</x:v>
      </x:c>
      <x:c r="U130" s="45" t="str">
        <x:v>S2, p. 6, ítem 126</x:v>
      </x:c>
      <x:c r="V130" s="45" t="str">
        <x:v>CAIMI-S2-126</x:v>
      </x:c>
    </x:row>
    <x:row r="131" ht="42" customHeight="1">
      <x:c r="A131" s="45" t="n">
        <x:v>127</x:v>
      </x:c>
      <x:c r="B131" s="45" t="str">
        <x:v>CAMA ELECTRICA</x:v>
      </x:c>
      <x:c r="C131" s="45" t="str">
        <x:v>MUBI</x:v>
      </x:c>
      <x:c r="D131" s="50" t="str">
        <x:v>LYNIX</x:v>
      </x:c>
      <x:c r="E131" s="50" t="str">
        <x:v>69441</x:v>
      </x:c>
      <x:c r="F131" s="50" t="str">
        <x:v>6286</x:v>
      </x:c>
      <x:c r="G131" s="45" t="str">
        <x:v>CAMA 9A</x:v>
      </x:c>
      <x:c r="H131" s="45" t="str">
        <x:v>EQUIPO OPERATIVO EN EL SERVICIO</x:v>
      </x:c>
      <x:c r="I131" s="45" t="n">
        <x:v>6</x:v>
      </x:c>
      <x:c r="J131" s="45" t="str">
        <x:v>Operativo explícito sin incidencia pendiente consignada</x:v>
      </x:c>
      <x:c r="K131" s="45" t="str">
        <x:v>Operativo explícito sin incidencia pendiente consignada</x:v>
      </x:c>
      <x:c r="L131" s="45" t="str">
        <x:v>CAMA 9A</x:v>
      </x:c>
      <x:c r="M131" s="45" t="str">
        <x:v>base</x:v>
      </x:c>
      <x:c r="N131" s="45" t="str">
        <x:v>EQUIPO OPERATIVO EN EL SERVICIO</x:v>
      </x:c>
      <x:c r="O131" s="49" t="str">
        <x:v>No indicada</x:v>
      </x:c>
      <x:c r="P131" s="50" t="str">
        <x:v>No aplica</x:v>
      </x:c>
      <x:c r="Q131" s="45" t="str">
        <x:v>No aplica</x:v>
      </x:c>
      <x:c r="R131" s="45" t="str"/>
      <x:c r="S131" s="45" t="str">
        <x:v>Mantener seguimiento preventivo institucional</x:v>
      </x:c>
      <x:c r="T131" s="45" t="str"/>
      <x:c r="U131" s="45" t="str">
        <x:v>S2, p. 6, ítem 127</x:v>
      </x:c>
      <x:c r="V131" s="45" t="str">
        <x:v>CAIMI-S2-127</x:v>
      </x:c>
    </x:row>
    <x:row r="132" ht="42" customHeight="1">
      <x:c r="A132" s="45" t="n">
        <x:v>128</x:v>
      </x:c>
      <x:c r="B132" s="45" t="str">
        <x:v>CAMA ELECTRICA</x:v>
      </x:c>
      <x:c r="C132" s="45" t="str">
        <x:v>MUBI</x:v>
      </x:c>
      <x:c r="D132" s="50" t="str">
        <x:v>LYNIX</x:v>
      </x:c>
      <x:c r="E132" s="50" t="str">
        <x:v>69438</x:v>
      </x:c>
      <x:c r="F132" s="50" t="str">
        <x:v>6272</x:v>
      </x:c>
      <x:c r="G132" s="45" t="str">
        <x:v>CAMA 9B</x:v>
      </x:c>
      <x:c r="H132" s="45" t="str">
        <x:v>REQUIERE BATERIA DE RESPALDO, FUNCIONA CON BSERVACIONES</x:v>
      </x:c>
      <x:c r="I132" s="45" t="n">
        <x:v>6</x:v>
      </x:c>
      <x:c r="J132" s="45" t="str">
        <x:v>Operativo con observaciones</x:v>
      </x:c>
      <x:c r="K132" s="45" t="str">
        <x:v>Operativo con observaciones</x:v>
      </x:c>
      <x:c r="L132" s="45" t="str">
        <x:v>CAMA 9B</x:v>
      </x:c>
      <x:c r="M132" s="45" t="str">
        <x:v>base</x:v>
      </x:c>
      <x:c r="N132" s="45" t="str">
        <x:v>REQUIERE BATERIA DE RESPALDO, FUNCIONA CON BSERVACIONES</x:v>
      </x:c>
      <x:c r="O132" s="49" t="str">
        <x:v>No indicada</x:v>
      </x:c>
      <x:c r="P132" s="50" t="str">
        <x:v>No aplica</x:v>
      </x:c>
      <x:c r="Q132" s="45" t="str">
        <x:v>No aplica</x:v>
      </x:c>
      <x:c r="R132" s="45" t="str"/>
      <x:c r="S132" s="45" t="str">
        <x:v>Gestionar observaciones originales y documentar verificación técnica posterior</x:v>
      </x:c>
      <x:c r="T132" s="45" t="str">
        <x:v>Intervención o verificación técnica; Baterías / autonomía</x:v>
      </x:c>
      <x:c r="U132" s="45" t="str">
        <x:v>S2, p. 6, ítem 128</x:v>
      </x:c>
      <x:c r="V132" s="45" t="str">
        <x:v>CAIMI-S2-128</x:v>
      </x:c>
    </x:row>
    <x:row r="133" ht="42" customHeight="1">
      <x:c r="A133" s="45" t="n">
        <x:v>129</x:v>
      </x:c>
      <x:c r="B133" s="45" t="str">
        <x:v>CAMA ELECTRICA</x:v>
      </x:c>
      <x:c r="C133" s="45" t="str">
        <x:v>MUBI</x:v>
      </x:c>
      <x:c r="D133" s="50" t="str">
        <x:v>LYNIX</x:v>
      </x:c>
      <x:c r="E133" s="50" t="str">
        <x:v>69436</x:v>
      </x:c>
      <x:c r="F133" s="50" t="str">
        <x:v>6282</x:v>
      </x:c>
      <x:c r="G133" s="45" t="str">
        <x:v>CAMA 10A</x:v>
      </x:c>
      <x:c r="H133" s="45" t="str">
        <x:v>REQUIERE BATERIA DE RESPALDO, OPERATIVO EN EL SERVICIO</x:v>
      </x:c>
      <x:c r="I133" s="45" t="n">
        <x:v>6</x:v>
      </x:c>
      <x:c r="J133" s="45" t="str">
        <x:v>Operativo con observaciones</x:v>
      </x:c>
      <x:c r="K133" s="45" t="str">
        <x:v>Operativo con observaciones</x:v>
      </x:c>
      <x:c r="L133" s="45" t="str">
        <x:v>CAMA 10A</x:v>
      </x:c>
      <x:c r="M133" s="45" t="str">
        <x:v>base</x:v>
      </x:c>
      <x:c r="N133" s="45" t="str">
        <x:v>REQUIERE BATERIA DE RESPALDO, OPERATIVO EN EL SERVICIO</x:v>
      </x:c>
      <x:c r="O133" s="49" t="str">
        <x:v>No indicada</x:v>
      </x:c>
      <x:c r="P133" s="50" t="str">
        <x:v>No aplica</x:v>
      </x:c>
      <x:c r="Q133" s="45" t="str">
        <x:v>No aplica</x:v>
      </x:c>
      <x:c r="R133" s="45" t="str"/>
      <x:c r="S133" s="45" t="str">
        <x:v>Gestionar observaciones originales y documentar verificación técnica posterior</x:v>
      </x:c>
      <x:c r="T133" s="45" t="str">
        <x:v>Intervención o verificación técnica; Baterías / autonomía</x:v>
      </x:c>
      <x:c r="U133" s="45" t="str">
        <x:v>S2, p. 6, ítem 129</x:v>
      </x:c>
      <x:c r="V133" s="45" t="str">
        <x:v>CAIMI-S2-129</x:v>
      </x:c>
    </x:row>
    <x:row r="134" ht="42" customHeight="1">
      <x:c r="A134" s="45" t="n">
        <x:v>130</x:v>
      </x:c>
      <x:c r="B134" s="45" t="str">
        <x:v>CAMA ELECTRICA</x:v>
      </x:c>
      <x:c r="C134" s="45" t="str">
        <x:v>MUBI</x:v>
      </x:c>
      <x:c r="D134" s="50" t="str">
        <x:v>LYNIX</x:v>
      </x:c>
      <x:c r="E134" s="50" t="str">
        <x:v>69433</x:v>
      </x:c>
      <x:c r="F134" s="50" t="str">
        <x:v>6275</x:v>
      </x:c>
      <x:c r="G134" s="45" t="str">
        <x:v>CAMA 10B</x:v>
      </x:c>
      <x:c r="H134" s="45" t="str">
        <x:v>REQUIERE BATERIA DE RESPALDO, FUNCIONA CON OBSERVACIONES</x:v>
      </x:c>
      <x:c r="I134" s="45" t="n">
        <x:v>6</x:v>
      </x:c>
      <x:c r="J134" s="45" t="str">
        <x:v>Operativo con observaciones</x:v>
      </x:c>
      <x:c r="K134" s="45" t="str">
        <x:v>Operativo con observaciones</x:v>
      </x:c>
      <x:c r="L134" s="45" t="str">
        <x:v>CAMA 10B</x:v>
      </x:c>
      <x:c r="M134" s="45" t="str">
        <x:v>base</x:v>
      </x:c>
      <x:c r="N134" s="45" t="str">
        <x:v>REQUIERE BATERIA DE RESPALDO, FUNCIONA CON OBSERVACIONES</x:v>
      </x:c>
      <x:c r="O134" s="49" t="str">
        <x:v>No indicada</x:v>
      </x:c>
      <x:c r="P134" s="50" t="str">
        <x:v>No aplica</x:v>
      </x:c>
      <x:c r="Q134" s="45" t="str">
        <x:v>No aplica</x:v>
      </x:c>
      <x:c r="R134" s="45" t="str"/>
      <x:c r="S134" s="45" t="str">
        <x:v>Gestionar observaciones originales y documentar verificación técnica posterior</x:v>
      </x:c>
      <x:c r="T134" s="45" t="str">
        <x:v>Intervención o verificación técnica; Baterías / autonomía</x:v>
      </x:c>
      <x:c r="U134" s="45" t="str">
        <x:v>S2, p. 6, ítem 130</x:v>
      </x:c>
      <x:c r="V134" s="45" t="str">
        <x:v>CAIMI-S2-130</x:v>
      </x:c>
    </x:row>
    <x:row r="135" ht="42" customHeight="1">
      <x:c r="A135" s="45" t="n">
        <x:v>131</x:v>
      </x:c>
      <x:c r="B135" s="45" t="str">
        <x:v>CAMA ELECTRICA</x:v>
      </x:c>
      <x:c r="C135" s="45" t="str">
        <x:v>MUBI</x:v>
      </x:c>
      <x:c r="D135" s="50" t="str">
        <x:v>LYNIX</x:v>
      </x:c>
      <x:c r="E135" s="50" t="str">
        <x:v>69432</x:v>
      </x:c>
      <x:c r="F135" s="50" t="str">
        <x:v>6285</x:v>
      </x:c>
      <x:c r="G135" s="45" t="str">
        <x:v>POSTPARTO</x:v>
      </x:c>
      <x:c r="H135" s="45" t="str">
        <x:v>EQUIPO FUNCIONA CORRECTAMENTE TODOS LOS MOVIMIENTOS, REQUIERE BATERIA DE RESPLDO</x:v>
      </x:c>
      <x:c r="I135" s="45" t="n">
        <x:v>6</x:v>
      </x:c>
      <x:c r="J135" s="45" t="str">
        <x:v>Operativo con observaciones</x:v>
      </x:c>
      <x:c r="K135" s="45" t="str">
        <x:v>Operativo con observaciones</x:v>
      </x:c>
      <x:c r="L135" s="45" t="str">
        <x:v>POSTPARTO</x:v>
      </x:c>
      <x:c r="M135" s="45" t="str">
        <x:v>base</x:v>
      </x:c>
      <x:c r="N135" s="45" t="str">
        <x:v>EQUIPO FUNCIONA CORRECTAMENTE TODOS LOS MOVIMIENTOS, REQUIERE BATERIA DE RESPLDO</x:v>
      </x:c>
      <x:c r="O135" s="49" t="str">
        <x:v>No indicada</x:v>
      </x:c>
      <x:c r="P135" s="50" t="str">
        <x:v>No aplica</x:v>
      </x:c>
      <x:c r="Q135" s="45" t="str">
        <x:v>No aplica</x:v>
      </x:c>
      <x:c r="R135" s="45" t="str"/>
      <x:c r="S135" s="45" t="str">
        <x:v>Gestionar observaciones originales y documentar verificación técnica posterior</x:v>
      </x:c>
      <x:c r="T135" s="45" t="str">
        <x:v>Intervención o verificación técnica; Baterías / autonomía</x:v>
      </x:c>
      <x:c r="U135" s="45" t="str">
        <x:v>S2, p. 6, ítem 131</x:v>
      </x:c>
      <x:c r="V135" s="45" t="str">
        <x:v>CAIMI-S2-131</x:v>
      </x:c>
    </x:row>
    <x:row r="136" ht="42" customHeight="1">
      <x:c r="A136" s="45" t="n">
        <x:v>132</x:v>
      </x:c>
      <x:c r="B136" s="45" t="str">
        <x:v>CAMA ELECTRICA</x:v>
      </x:c>
      <x:c r="C136" s="45" t="str">
        <x:v>MUBI</x:v>
      </x:c>
      <x:c r="D136" s="50" t="str">
        <x:v>LYNIX</x:v>
      </x:c>
      <x:c r="E136" s="50" t="str">
        <x:v>69434</x:v>
      </x:c>
      <x:c r="F136" s="50" t="str">
        <x:v>6274</x:v>
      </x:c>
      <x:c r="G136" s="45" t="str">
        <x:v>POSTPARTO</x:v>
      </x:c>
      <x:c r="H136" s="45" t="str">
        <x:v>EQUIPO FUNCIONA CORRECTAMENTE TODOS LOS MOVIMIENTOS, REQUIERE BATERIA DE RESPLDO</x:v>
      </x:c>
      <x:c r="I136" s="45" t="n">
        <x:v>6</x:v>
      </x:c>
      <x:c r="J136" s="45" t="str">
        <x:v>Operativo con observaciones</x:v>
      </x:c>
      <x:c r="K136" s="45" t="str">
        <x:v>Operativo con observaciones</x:v>
      </x:c>
      <x:c r="L136" s="45" t="str">
        <x:v>POSTPARTO</x:v>
      </x:c>
      <x:c r="M136" s="45" t="str">
        <x:v>base</x:v>
      </x:c>
      <x:c r="N136" s="45" t="str">
        <x:v>EQUIPO FUNCIONA CORRECTAMENTE TODOS LOS MOVIMIENTOS, REQUIERE BATERIA DE RESPLDO</x:v>
      </x:c>
      <x:c r="O136" s="49" t="str">
        <x:v>No indicada</x:v>
      </x:c>
      <x:c r="P136" s="50" t="str">
        <x:v>No aplica</x:v>
      </x:c>
      <x:c r="Q136" s="45" t="str">
        <x:v>No aplica</x:v>
      </x:c>
      <x:c r="R136" s="45" t="str"/>
      <x:c r="S136" s="45" t="str">
        <x:v>Gestionar observaciones originales y documentar verificación técnica posterior</x:v>
      </x:c>
      <x:c r="T136" s="45" t="str">
        <x:v>Intervención o verificación técnica; Baterías / autonomía</x:v>
      </x:c>
      <x:c r="U136" s="45" t="str">
        <x:v>S2, p. 6, ítem 132</x:v>
      </x:c>
      <x:c r="V136" s="45" t="str">
        <x:v>CAIMI-S2-132</x:v>
      </x:c>
    </x:row>
    <x:row r="137" ht="42" customHeight="1">
      <x:c r="A137" s="45" t="n">
        <x:v>133</x:v>
      </x:c>
      <x:c r="B137" s="45" t="str">
        <x:v>CAMA ELECTRICA</x:v>
      </x:c>
      <x:c r="C137" s="45" t="str">
        <x:v>MUBI</x:v>
      </x:c>
      <x:c r="D137" s="50" t="str">
        <x:v>LYNIX</x:v>
      </x:c>
      <x:c r="E137" s="50" t="str">
        <x:v>69435</x:v>
      </x:c>
      <x:c r="F137" s="50" t="str">
        <x:v>6273</x:v>
      </x:c>
      <x:c r="G137" s="45" t="str">
        <x:v>POSTPARTO</x:v>
      </x:c>
      <x:c r="H137" s="45" t="str">
        <x:v>EQUIPO REQUIERE BATERIA RESPALDO DEL MODULO, FUNCIONA CORRECTAMENTE CON OBSERVACIONES</x:v>
      </x:c>
      <x:c r="I137" s="45" t="n">
        <x:v>6</x:v>
      </x:c>
      <x:c r="J137" s="45" t="str">
        <x:v>Operativo con observaciones</x:v>
      </x:c>
      <x:c r="K137" s="45" t="str">
        <x:v>Operativo con observaciones</x:v>
      </x:c>
      <x:c r="L137" s="45" t="str">
        <x:v>POSTPARTO</x:v>
      </x:c>
      <x:c r="M137" s="45" t="str">
        <x:v>base</x:v>
      </x:c>
      <x:c r="N137" s="45" t="str">
        <x:v>EQUIPO REQUIERE BATERIA RESPALDO DEL MODULO, FUNCIONA CORRECTAMENTE CON OBSERVACIONES</x:v>
      </x:c>
      <x:c r="O137" s="49" t="str">
        <x:v>No indicada</x:v>
      </x:c>
      <x:c r="P137" s="50" t="str">
        <x:v>No aplica</x:v>
      </x:c>
      <x:c r="Q137" s="45" t="str">
        <x:v>No aplica</x:v>
      </x:c>
      <x:c r="R137" s="45" t="str"/>
      <x:c r="S137" s="45" t="str">
        <x:v>Gestionar observaciones originales y documentar verificación técnica posterior</x:v>
      </x:c>
      <x:c r="T137" s="45" t="str">
        <x:v>Intervención o verificación técnica; Baterías / autonomía</x:v>
      </x:c>
      <x:c r="U137" s="45" t="str">
        <x:v>S2, p. 6, ítem 133</x:v>
      </x:c>
      <x:c r="V137" s="45" t="str">
        <x:v>CAIMI-S2-133</x:v>
      </x:c>
    </x:row>
    <x:row r="138" ht="42" customHeight="1">
      <x:c r="A138" s="45" t="n">
        <x:v>134</x:v>
      </x:c>
      <x:c r="B138" s="45" t="str">
        <x:v>CAMA ELECTRICA</x:v>
      </x:c>
      <x:c r="C138" s="45" t="str">
        <x:v>MUBI</x:v>
      </x:c>
      <x:c r="D138" s="50" t="str">
        <x:v>LYNIX</x:v>
      </x:c>
      <x:c r="E138" s="50" t="str">
        <x:v>69446</x:v>
      </x:c>
      <x:c r="F138" s="50" t="str">
        <x:v>6281</x:v>
      </x:c>
      <x:c r="G138" s="45" t="str">
        <x:v>PREPARTO</x:v>
      </x:c>
      <x:c r="H138" s="45" t="str">
        <x:v>EQUIPO OPERATIVO EN EL SERVICIO. REQUIERE BATERIA DE RESPALDO</x:v>
      </x:c>
      <x:c r="I138" s="45" t="n">
        <x:v>6</x:v>
      </x:c>
      <x:c r="J138" s="45" t="str">
        <x:v>Operativo con observaciones</x:v>
      </x:c>
      <x:c r="K138" s="45" t="str">
        <x:v>Operativo con observaciones</x:v>
      </x:c>
      <x:c r="L138" s="45" t="str">
        <x:v>PREPARTO</x:v>
      </x:c>
      <x:c r="M138" s="45" t="str">
        <x:v>base</x:v>
      </x:c>
      <x:c r="N138" s="45" t="str">
        <x:v>EQUIPO OPERATIVO EN EL SERVICIO. REQUIERE BATERIA DE RESPALDO</x:v>
      </x:c>
      <x:c r="O138" s="49" t="str">
        <x:v>No indicada</x:v>
      </x:c>
      <x:c r="P138" s="50" t="str">
        <x:v>No aplica</x:v>
      </x:c>
      <x:c r="Q138" s="45" t="str">
        <x:v>No aplica</x:v>
      </x:c>
      <x:c r="R138" s="45" t="str"/>
      <x:c r="S138" s="45" t="str">
        <x:v>Gestionar observaciones originales y documentar verificación técnica posterior</x:v>
      </x:c>
      <x:c r="T138" s="45" t="str">
        <x:v>Intervención o verificación técnica; Baterías / autonomía</x:v>
      </x:c>
      <x:c r="U138" s="45" t="str">
        <x:v>S2, p. 6, ítem 134</x:v>
      </x:c>
      <x:c r="V138" s="45" t="str">
        <x:v>CAIMI-S2-134</x:v>
      </x:c>
    </x:row>
    <x:row r="139" ht="42" customHeight="1">
      <x:c r="A139" s="45" t="n">
        <x:v>135</x:v>
      </x:c>
      <x:c r="B139" s="45" t="str">
        <x:v>CAMA ELECTRICA</x:v>
      </x:c>
      <x:c r="C139" s="45" t="str">
        <x:v>MUBI</x:v>
      </x:c>
      <x:c r="D139" s="50" t="str">
        <x:v>LYNIX</x:v>
      </x:c>
      <x:c r="E139" s="50" t="str">
        <x:v>69440</x:v>
      </x:c>
      <x:c r="F139" s="50" t="str">
        <x:v>6277</x:v>
      </x:c>
      <x:c r="G139" s="45" t="str">
        <x:v>PREPARTO</x:v>
      </x:c>
      <x:c r="H139" s="45" t="str">
        <x:v>EQUIPO FUCIONA CORRECTAMENTE SOLO REQUIERE BATERIA DE RESPALDO</x:v>
      </x:c>
      <x:c r="I139" s="45" t="n">
        <x:v>6</x:v>
      </x:c>
      <x:c r="J139" s="45" t="str">
        <x:v>Operativo con observaciones</x:v>
      </x:c>
      <x:c r="K139" s="45" t="str">
        <x:v>Operativo con observaciones</x:v>
      </x:c>
      <x:c r="L139" s="45" t="str">
        <x:v>PREPARTO</x:v>
      </x:c>
      <x:c r="M139" s="45" t="str">
        <x:v>base</x:v>
      </x:c>
      <x:c r="N139" s="45" t="str">
        <x:v>EQUIPO FUCIONA CORRECTAMENTE SOLO REQUIERE BATERIA DE RESPALDO</x:v>
      </x:c>
      <x:c r="O139" s="49" t="str">
        <x:v>No indicada</x:v>
      </x:c>
      <x:c r="P139" s="50" t="str">
        <x:v>No aplica</x:v>
      </x:c>
      <x:c r="Q139" s="45" t="str">
        <x:v>No aplica</x:v>
      </x:c>
      <x:c r="R139" s="45" t="str"/>
      <x:c r="S139" s="45" t="str">
        <x:v>Gestionar observaciones originales y documentar verificación técnica posterior</x:v>
      </x:c>
      <x:c r="T139" s="45" t="str">
        <x:v>Intervención o verificación técnica; Baterías / autonomía</x:v>
      </x:c>
      <x:c r="U139" s="45" t="str">
        <x:v>S2, p. 6, ítem 135</x:v>
      </x:c>
      <x:c r="V139" s="45" t="str">
        <x:v>CAIMI-S2-135</x:v>
      </x:c>
    </x:row>
    <x:row r="140" ht="42" customHeight="1">
      <x:c r="A140" s="45" t="n">
        <x:v>136</x:v>
      </x:c>
      <x:c r="B140" s="45" t="str">
        <x:v>CAMA ELECTRICA</x:v>
      </x:c>
      <x:c r="C140" s="45" t="str">
        <x:v>MUBI</x:v>
      </x:c>
      <x:c r="D140" s="50" t="str">
        <x:v>LYNIX</x:v>
      </x:c>
      <x:c r="E140" s="50" t="str">
        <x:v>69437</x:v>
      </x:c>
      <x:c r="F140" s="50" t="str">
        <x:v>6278</x:v>
      </x:c>
      <x:c r="G140" s="45" t="str">
        <x:v>PREPARTO</x:v>
      </x:c>
      <x:c r="H140" s="45" t="str">
        <x:v>EQUIPO OPERATIVO EN EL SERVICIO. REQUIERE BATERIA DE SOPORTE</x:v>
      </x:c>
      <x:c r="I140" s="45" t="n">
        <x:v>6</x:v>
      </x:c>
      <x:c r="J140" s="45" t="str">
        <x:v>Operativo con observaciones</x:v>
      </x:c>
      <x:c r="K140" s="45" t="str">
        <x:v>Operativo con observaciones</x:v>
      </x:c>
      <x:c r="L140" s="45" t="str">
        <x:v>PREPARTO</x:v>
      </x:c>
      <x:c r="M140" s="45" t="str">
        <x:v>base</x:v>
      </x:c>
      <x:c r="N140" s="45" t="str">
        <x:v>EQUIPO OPERATIVO EN EL SERVICIO. REQUIERE BATERIA DE SOPORTE</x:v>
      </x:c>
      <x:c r="O140" s="49" t="str">
        <x:v>No indicada</x:v>
      </x:c>
      <x:c r="P140" s="50" t="str">
        <x:v>No aplica</x:v>
      </x:c>
      <x:c r="Q140" s="45" t="str">
        <x:v>No aplica</x:v>
      </x:c>
      <x:c r="R140" s="45" t="str"/>
      <x:c r="S140" s="45" t="str">
        <x:v>Gestionar observaciones originales y documentar verificación técnica posterior</x:v>
      </x:c>
      <x:c r="T140" s="45" t="str">
        <x:v>Intervención o verificación técnica; Baterías / autonomía</x:v>
      </x:c>
      <x:c r="U140" s="45" t="str">
        <x:v>S2, p. 6, ítem 136</x:v>
      </x:c>
      <x:c r="V140" s="45" t="str">
        <x:v>CAIMI-S2-136</x:v>
      </x:c>
    </x:row>
    <x:row r="141" ht="42" customHeight="1">
      <x:c r="A141" s="45" t="n">
        <x:v>137</x:v>
      </x:c>
      <x:c r="B141" s="45" t="str">
        <x:v>CAMILLA</x:v>
      </x:c>
      <x:c r="C141" s="45" t="str">
        <x:v>MUBI</x:v>
      </x:c>
      <x:c r="D141" s="50" t="str">
        <x:v>HYDRUX</x:v>
      </x:c>
      <x:c r="E141" s="50" t="str">
        <x:v>66032</x:v>
      </x:c>
      <x:c r="F141" s="50" t="str">
        <x:v>6294</x:v>
      </x:c>
      <x:c r="G141" s="45" t="str">
        <x:v>POSTPARTO INMEDIATO</x:v>
      </x:c>
      <x:c r="H141" s="45" t="str">
        <x:v>EQUIPO OPERATIVO EN EL SERVICIO</x:v>
      </x:c>
      <x:c r="I141" s="45" t="n">
        <x:v>6</x:v>
      </x:c>
      <x:c r="J141" s="45" t="str">
        <x:v>Operativo explícito sin incidencia pendiente consignada</x:v>
      </x:c>
      <x:c r="K141" s="45" t="str">
        <x:v>Operativo explícito sin incidencia pendiente consignada</x:v>
      </x:c>
      <x:c r="L141" s="45" t="str">
        <x:v>POSTPARTO INMEDIATO</x:v>
      </x:c>
      <x:c r="M141" s="45" t="str">
        <x:v>base</x:v>
      </x:c>
      <x:c r="N141" s="45" t="str">
        <x:v>EQUIPO OPERATIVO EN EL SERVICIO</x:v>
      </x:c>
      <x:c r="O141" s="49" t="str">
        <x:v>No indicada</x:v>
      </x:c>
      <x:c r="P141" s="50" t="str">
        <x:v>No aplica</x:v>
      </x:c>
      <x:c r="Q141" s="45" t="str">
        <x:v>No aplica</x:v>
      </x:c>
      <x:c r="R141" s="45" t="str"/>
      <x:c r="S141" s="45" t="str">
        <x:v>Mantener seguimiento preventivo institucional</x:v>
      </x:c>
      <x:c r="T141" s="45" t="str"/>
      <x:c r="U141" s="45" t="str">
        <x:v>S2, p. 6, ítem 137</x:v>
      </x:c>
      <x:c r="V141" s="45" t="str">
        <x:v>CAIMI-S2-137</x:v>
      </x:c>
    </x:row>
    <x:row r="142" ht="42" customHeight="1">
      <x:c r="A142" s="45" t="n">
        <x:v>138</x:v>
      </x:c>
      <x:c r="B142" s="45" t="str">
        <x:v>CAMILLA</x:v>
      </x:c>
      <x:c r="C142" s="45" t="str">
        <x:v>MUBI</x:v>
      </x:c>
      <x:c r="D142" s="50" t="str">
        <x:v>HYDRUX</x:v>
      </x:c>
      <x:c r="E142" s="50" t="str">
        <x:v>66264</x:v>
      </x:c>
      <x:c r="F142" s="50" t="str">
        <x:v>6297</x:v>
      </x:c>
      <x:c r="G142" s="45" t="str">
        <x:v>POSTPARTO INMEDIATO</x:v>
      </x:c>
      <x:c r="H142" s="45" t="str">
        <x:v>EQUIPO OPERATIVO EN EL SERVICIO</x:v>
      </x:c>
      <x:c r="I142" s="45" t="n">
        <x:v>6</x:v>
      </x:c>
      <x:c r="J142" s="45" t="str">
        <x:v>Operativo explícito sin incidencia pendiente consignada</x:v>
      </x:c>
      <x:c r="K142" s="45" t="str">
        <x:v>Operativo explícito sin incidencia pendiente consignada</x:v>
      </x:c>
      <x:c r="L142" s="45" t="str">
        <x:v>POSTPARTO INMEDIATO</x:v>
      </x:c>
      <x:c r="M142" s="45" t="str">
        <x:v>base</x:v>
      </x:c>
      <x:c r="N142" s="45" t="str">
        <x:v>EQUIPO OPERATIVO EN EL SERVICIO</x:v>
      </x:c>
      <x:c r="O142" s="49" t="str">
        <x:v>No indicada</x:v>
      </x:c>
      <x:c r="P142" s="50" t="str">
        <x:v>No aplica</x:v>
      </x:c>
      <x:c r="Q142" s="45" t="str">
        <x:v>No aplica</x:v>
      </x:c>
      <x:c r="R142" s="45" t="str"/>
      <x:c r="S142" s="45" t="str">
        <x:v>Mantener seguimiento preventivo institucional</x:v>
      </x:c>
      <x:c r="T142" s="45" t="str"/>
      <x:c r="U142" s="45" t="str">
        <x:v>S2, p. 6, ítem 138</x:v>
      </x:c>
      <x:c r="V142" s="45" t="str">
        <x:v>CAIMI-S2-138</x:v>
      </x:c>
    </x:row>
    <x:row r="143" ht="42" customHeight="1">
      <x:c r="A143" s="45" t="n">
        <x:v>139</x:v>
      </x:c>
      <x:c r="B143" s="45" t="str">
        <x:v>CAMILLA</x:v>
      </x:c>
      <x:c r="C143" s="45" t="str">
        <x:v>MUBI</x:v>
      </x:c>
      <x:c r="D143" s="50" t="str">
        <x:v>CIGNUX</x:v>
      </x:c>
      <x:c r="E143" s="50" t="str">
        <x:v>72592</x:v>
      </x:c>
      <x:c r="F143" s="50" t="str">
        <x:v>6713</x:v>
      </x:c>
      <x:c r="G143" s="45" t="str">
        <x:v>POSTPARTO INMEDIATO</x:v>
      </x:c>
      <x:c r="H143" s="45" t="str">
        <x:v>EQUIPO OPERATIVO EN EL SERVICIO</x:v>
      </x:c>
      <x:c r="I143" s="45" t="n">
        <x:v>6</x:v>
      </x:c>
      <x:c r="J143" s="45" t="str">
        <x:v>Operativo explícito sin incidencia pendiente consignada</x:v>
      </x:c>
      <x:c r="K143" s="45" t="str">
        <x:v>Operativo explícito sin incidencia pendiente consignada</x:v>
      </x:c>
      <x:c r="L143" s="45" t="str">
        <x:v>POSTPARTO INMEDIATO</x:v>
      </x:c>
      <x:c r="M143" s="45" t="str">
        <x:v>base</x:v>
      </x:c>
      <x:c r="N143" s="45" t="str">
        <x:v>EQUIPO OPERATIVO EN EL SERVICIO</x:v>
      </x:c>
      <x:c r="O143" s="49" t="str">
        <x:v>No indicada</x:v>
      </x:c>
      <x:c r="P143" s="50" t="str">
        <x:v>No aplica</x:v>
      </x:c>
      <x:c r="Q143" s="45" t="str">
        <x:v>No aplica</x:v>
      </x:c>
      <x:c r="R143" s="45" t="str"/>
      <x:c r="S143" s="45" t="str">
        <x:v>Mantener seguimiento preventivo institucional</x:v>
      </x:c>
      <x:c r="T143" s="45" t="str"/>
      <x:c r="U143" s="45" t="str">
        <x:v>S2, p. 6, ítem 139</x:v>
      </x:c>
      <x:c r="V143" s="45" t="str">
        <x:v>CAIMI-S2-139</x:v>
      </x:c>
    </x:row>
    <x:row r="144" ht="68" customHeight="1">
      <x:c r="A144" s="45" t="n">
        <x:v>140</x:v>
      </x:c>
      <x:c r="B144" s="45" t="str">
        <x:v>EQUIPO DE ÓRGANOS DE PARED</x:v>
      </x:c>
      <x:c r="C144" s="45" t="str">
        <x:v>WELCH ALLYN</x:v>
      </x:c>
      <x:c r="D144" s="50" t="str">
        <x:v>GS-777</x:v>
      </x:c>
      <x:c r="E144" s="50" t="str">
        <x:v>NR</x:v>
      </x:c>
      <x:c r="F144" s="50" t="str">
        <x:v>3237</x:v>
      </x:c>
      <x:c r="G144" s="45" t="str">
        <x:v>ALMACEN DE MEDICAMENTOS</x:v>
      </x:c>
      <x:c r="H144" s="45" t="str">
        <x:v>NO SE ENCONTRO EN EL SERVICIO</x:v>
      </x:c>
      <x:c r="I144" s="45" t="n">
        <x:v>7</x:v>
      </x:c>
      <x:c r="J144" s="45" t="str">
        <x:v>No ubicado en la visita inicial</x:v>
      </x:c>
      <x:c r="K144" s="45" t="str">
        <x:v>Fuera de servicio explícito</x:v>
      </x:c>
      <x:c r="L144" s="45" t="str">
        <x:v>Sala de partos / almacén</x:v>
      </x:c>
      <x:c r="M144" s="45" t="str">
        <x:v>placa</x:v>
      </x:c>
      <x:c r="N144" s="45" t="str">
        <x:v>Fuera de servicio; faltan dos cabezales</x:v>
      </x:c>
      <x:c r="O144" s="49" t="d">
        <x:v>2026-07-09T00:00:00.000Z</x:v>
      </x:c>
      <x:c r="P144" s="50" t="str">
        <x:v>42295</x:v>
      </x:c>
      <x:c r="Q144" s="45" t="n">
        <x:v>5</x:v>
      </x:c>
      <x:c r="R144" s="45" t="str">
        <x:v>Servicio concluido y equipo fuera de servicio marcados simultáneamente; son dimensiones distintas.</x:v>
      </x:c>
      <x:c r="S144" s="45" t="str">
        <x:v>Gestionar cabezales y nueva validación funcional</x:v>
      </x:c>
      <x:c r="T144" s="45" t="str">
        <x:v>Intervención o verificación técnica</x:v>
      </x:c>
      <x:c r="U144" s="45" t="str">
        <x:v>S1, p. 5, reporte 42295</x:v>
      </x:c>
      <x:c r="V144" s="45" t="str">
        <x:v>CAIMI-S2-140</x:v>
      </x:c>
    </x:row>
    <x:row r="145" ht="68" customHeight="1">
      <x:c r="A145" s="45" t="n">
        <x:v>141</x:v>
      </x:c>
      <x:c r="B145" s="45" t="str">
        <x:v>TENSIÓMETRO DE PARED</x:v>
      </x:c>
      <x:c r="C145" s="45" t="str">
        <x:v>WELCH ALLYN</x:v>
      </x:c>
      <x:c r="D145" s="50" t="str">
        <x:v>LIFETIME</x:v>
      </x:c>
      <x:c r="E145" s="50" t="str">
        <x:v>200109000000</x:v>
      </x:c>
      <x:c r="F145" s="50" t="str">
        <x:v>6397</x:v>
      </x:c>
      <x:c r="G145" s="45" t="str">
        <x:v>SALA DE VISITA</x:v>
      </x:c>
      <x:c r="H145" s="45" t="str">
        <x:v>NO SE ENCONTRO EN EL SERVICIO</x:v>
      </x:c>
      <x:c r="I145" s="45" t="n">
        <x:v>7</x:v>
      </x:c>
      <x:c r="J145" s="45" t="str">
        <x:v>No ubicado en la visita inicial</x:v>
      </x:c>
      <x:c r="K145" s="45" t="str">
        <x:v>Operativo explícito sin incidencia pendiente consignada</x:v>
      </x:c>
      <x:c r="L145" s="45" t="str">
        <x:v>Sala de partos / almacén</x:v>
      </x:c>
      <x:c r="M145" s="45" t="str">
        <x:v>placa</x:v>
      </x:c>
      <x:c r="N145" s="45" t="str">
        <x:v>Equipo operativo en el servicio</x:v>
      </x:c>
      <x:c r="O145" s="49" t="d">
        <x:v>2026-07-09T00:00:00.000Z</x:v>
      </x:c>
      <x:c r="P145" s="50" t="str">
        <x:v>42296</x:v>
      </x:c>
      <x:c r="Q145" s="45" t="n">
        <x:v>6</x:v>
      </x:c>
      <x:c r="R145" s="45" t="str">
        <x:v>Registrar cambio de ubicación; verificar ceros de serie si se transcribe el manuscrito.</x:v>
      </x:c>
      <x:c r="S145" s="45" t="str">
        <x:v>Actualizar ubicación en registro institucional</x:v>
      </x:c>
      <x:c r="T145" s="45" t="str"/>
      <x:c r="U145" s="45" t="str">
        <x:v>S1, p. 6, reporte 42296</x:v>
      </x:c>
      <x:c r="V145" s="45" t="str">
        <x:v>CAIMI-S2-141</x:v>
      </x:c>
    </x:row>
    <x:row r="146" ht="42" customHeight="1">
      <x:c r="A146" s="45" t="n">
        <x:v>142</x:v>
      </x:c>
      <x:c r="B146" s="45" t="str">
        <x:v>CAMILLA</x:v>
      </x:c>
      <x:c r="C146" s="45" t="str">
        <x:v>MUBI</x:v>
      </x:c>
      <x:c r="D146" s="50" t="str">
        <x:v>HYDRUX</x:v>
      </x:c>
      <x:c r="E146" s="50" t="str">
        <x:v>65954</x:v>
      </x:c>
      <x:c r="F146" s="50" t="str">
        <x:v>6301</x:v>
      </x:c>
      <x:c r="G146" s="45" t="str">
        <x:v>SALA DE VISITA</x:v>
      </x:c>
      <x:c r="H146" s="45" t="str">
        <x:v>EQUIPO OPERATIVO EN EL SERVICIO</x:v>
      </x:c>
      <x:c r="I146" s="45" t="n">
        <x:v>7</x:v>
      </x:c>
      <x:c r="J146" s="45" t="str">
        <x:v>Operativo explícito sin incidencia pendiente consignada</x:v>
      </x:c>
      <x:c r="K146" s="45" t="str">
        <x:v>Operativo explícito sin incidencia pendiente consignada</x:v>
      </x:c>
      <x:c r="L146" s="45" t="str">
        <x:v>SALA DE VISITA</x:v>
      </x:c>
      <x:c r="M146" s="45" t="str">
        <x:v>base</x:v>
      </x:c>
      <x:c r="N146" s="45" t="str">
        <x:v>EQUIPO OPERATIVO EN EL SERVICIO</x:v>
      </x:c>
      <x:c r="O146" s="49" t="str">
        <x:v>No indicada</x:v>
      </x:c>
      <x:c r="P146" s="50" t="str">
        <x:v>No aplica</x:v>
      </x:c>
      <x:c r="Q146" s="45" t="str">
        <x:v>No aplica</x:v>
      </x:c>
      <x:c r="R146" s="45" t="str"/>
      <x:c r="S146" s="45" t="str">
        <x:v>Mantener seguimiento preventivo institucional</x:v>
      </x:c>
      <x:c r="T146" s="45" t="str"/>
      <x:c r="U146" s="45" t="str">
        <x:v>S2, p. 7, ítem 142</x:v>
      </x:c>
      <x:c r="V146" s="45" t="str">
        <x:v>CAIMI-S2-142</x:v>
      </x:c>
    </x:row>
    <x:row r="147" ht="42" customHeight="1">
      <x:c r="A147" s="45" t="n">
        <x:v>143</x:v>
      </x:c>
      <x:c r="B147" s="45" t="str">
        <x:v>CAMILLA</x:v>
      </x:c>
      <x:c r="C147" s="45" t="str">
        <x:v>MUBI</x:v>
      </x:c>
      <x:c r="D147" s="50" t="str">
        <x:v>HYDRUX</x:v>
      </x:c>
      <x:c r="E147" s="50" t="str">
        <x:v>66029</x:v>
      </x:c>
      <x:c r="F147" s="50" t="str">
        <x:v>6293</x:v>
      </x:c>
      <x:c r="G147" s="45" t="str">
        <x:v>POSTPARTO INMEDIATO</x:v>
      </x:c>
      <x:c r="H147" s="45" t="str">
        <x:v>EQUIPO FUNCIONA CORRECTAMENTE</x:v>
      </x:c>
      <x:c r="I147" s="45" t="n">
        <x:v>7</x:v>
      </x:c>
      <x:c r="J147" s="45" t="str">
        <x:v>Operativo explícito sin incidencia pendiente consignada</x:v>
      </x:c>
      <x:c r="K147" s="45" t="str">
        <x:v>Operativo explícito sin incidencia pendiente consignada</x:v>
      </x:c>
      <x:c r="L147" s="45" t="str">
        <x:v>POSTPARTO INMEDIATO</x:v>
      </x:c>
      <x:c r="M147" s="45" t="str">
        <x:v>base</x:v>
      </x:c>
      <x:c r="N147" s="45" t="str">
        <x:v>EQUIPO FUNCIONA CORRECTAMENTE</x:v>
      </x:c>
      <x:c r="O147" s="49" t="str">
        <x:v>No indicada</x:v>
      </x:c>
      <x:c r="P147" s="50" t="str">
        <x:v>No aplica</x:v>
      </x:c>
      <x:c r="Q147" s="45" t="str">
        <x:v>No aplica</x:v>
      </x:c>
      <x:c r="R147" s="45" t="str"/>
      <x:c r="S147" s="45" t="str">
        <x:v>Mantener seguimiento preventivo institucional</x:v>
      </x:c>
      <x:c r="T147" s="45" t="str"/>
      <x:c r="U147" s="45" t="str">
        <x:v>S2, p. 7, ítem 143</x:v>
      </x:c>
      <x:c r="V147" s="45" t="str">
        <x:v>CAIMI-S2-143</x:v>
      </x:c>
    </x:row>
    <x:row r="148" ht="42" customHeight="1">
      <x:c r="A148" s="45" t="n">
        <x:v>144</x:v>
      </x:c>
      <x:c r="B148" s="45" t="str">
        <x:v>CUNA PEDIÁTRICA</x:v>
      </x:c>
      <x:c r="C148" s="45" t="str">
        <x:v>LOS PINOS</x:v>
      </x:c>
      <x:c r="D148" s="50" t="str">
        <x:v>740P V11</x:v>
      </x:c>
      <x:c r="E148" s="50" t="str">
        <x:v>503364</x:v>
      </x:c>
      <x:c r="F148" s="50" t="str">
        <x:v>3923</x:v>
      </x:c>
      <x:c r="G148" s="45" t="str">
        <x:v>RECUPERACIÓN CIRUGÍA</x:v>
      </x:c>
      <x:c r="H148" s="45" t="str">
        <x:v>NO TIENE CABLE AC , LE FALTA CONTROL DE MANDO, FUNCIONA SOLO CON MOVIMIENTOS MECANICOS</x:v>
      </x:c>
      <x:c r="I148" s="45" t="n">
        <x:v>7</x:v>
      </x:c>
      <x:c r="J148" s="45" t="str">
        <x:v>Operativo con observaciones</x:v>
      </x:c>
      <x:c r="K148" s="45" t="str">
        <x:v>Operativo con observaciones</x:v>
      </x:c>
      <x:c r="L148" s="45" t="str">
        <x:v>RECUPERACIÓN CIRUGÍA</x:v>
      </x:c>
      <x:c r="M148" s="45" t="str">
        <x:v>base</x:v>
      </x:c>
      <x:c r="N148" s="45" t="str">
        <x:v>NO TIENE CABLE AC , LE FALTA CONTROL DE MANDO, FUNCIONA SOLO CON MOVIMIENTOS MECANICOS</x:v>
      </x:c>
      <x:c r="O148" s="49" t="str">
        <x:v>No indicada</x:v>
      </x:c>
      <x:c r="P148" s="50" t="str">
        <x:v>No aplica</x:v>
      </x:c>
      <x:c r="Q148" s="45" t="str">
        <x:v>No aplica</x:v>
      </x:c>
      <x:c r="R148" s="45" t="str"/>
      <x:c r="S148" s="45" t="str">
        <x:v>Gestionar observaciones originales y documentar verificación técnica posterior</x:v>
      </x:c>
      <x:c r="T148" s="45" t="str">
        <x:v>Intervención o verificación técnica</x:v>
      </x:c>
      <x:c r="U148" s="45" t="str">
        <x:v>S2, p. 7, ítem 144</x:v>
      </x:c>
      <x:c r="V148" s="45" t="str">
        <x:v>CAIMI-S2-144</x:v>
      </x:c>
    </x:row>
    <x:row r="149" ht="42" customHeight="1">
      <x:c r="A149" s="45" t="n">
        <x:v>145</x:v>
      </x:c>
      <x:c r="B149" s="45" t="str">
        <x:v>CAMA ELECTRICA</x:v>
      </x:c>
      <x:c r="C149" s="45" t="str">
        <x:v>MUBI</x:v>
      </x:c>
      <x:c r="D149" s="50" t="str">
        <x:v>LYNIX</x:v>
      </x:c>
      <x:c r="E149" s="50" t="str">
        <x:v>69443</x:v>
      </x:c>
      <x:c r="F149" s="50" t="str">
        <x:v>6280</x:v>
      </x:c>
      <x:c r="G149" s="45" t="str">
        <x:v>RECUPERACIÓN CIRUGÍA</x:v>
      </x:c>
      <x:c r="H149" s="45" t="str">
        <x:v>EQUIPO FUNCIONA CORRECTAMENTE, OPERATIVO EN EL SERVICIO</x:v>
      </x:c>
      <x:c r="I149" s="45" t="n">
        <x:v>7</x:v>
      </x:c>
      <x:c r="J149" s="45" t="str">
        <x:v>Operativo explícito sin incidencia pendiente consignada</x:v>
      </x:c>
      <x:c r="K149" s="45" t="str">
        <x:v>Operativo explícito sin incidencia pendiente consignada</x:v>
      </x:c>
      <x:c r="L149" s="45" t="str">
        <x:v>RECUPERACIÓN CIRUGÍA</x:v>
      </x:c>
      <x:c r="M149" s="45" t="str">
        <x:v>base</x:v>
      </x:c>
      <x:c r="N149" s="45" t="str">
        <x:v>EQUIPO FUNCIONA CORRECTAMENTE, OPERATIVO EN EL SERVICIO</x:v>
      </x:c>
      <x:c r="O149" s="49" t="str">
        <x:v>No indicada</x:v>
      </x:c>
      <x:c r="P149" s="50" t="str">
        <x:v>No aplica</x:v>
      </x:c>
      <x:c r="Q149" s="45" t="str">
        <x:v>No aplica</x:v>
      </x:c>
      <x:c r="R149" s="45" t="str"/>
      <x:c r="S149" s="45" t="str">
        <x:v>Mantener seguimiento preventivo institucional</x:v>
      </x:c>
      <x:c r="T149" s="45" t="str"/>
      <x:c r="U149" s="45" t="str">
        <x:v>S2, p. 7, ítem 145</x:v>
      </x:c>
      <x:c r="V149" s="45" t="str">
        <x:v>CAIMI-S2-145</x:v>
      </x:c>
    </x:row>
    <x:row r="150" ht="42" customHeight="1">
      <x:c r="A150" s="45" t="n">
        <x:v>146</x:v>
      </x:c>
      <x:c r="B150" s="45" t="str">
        <x:v>CAMILLA</x:v>
      </x:c>
      <x:c r="C150" s="45" t="str">
        <x:v>MUBI</x:v>
      </x:c>
      <x:c r="D150" s="50" t="str">
        <x:v>CIGNUX</x:v>
      </x:c>
      <x:c r="E150" s="50" t="str">
        <x:v>72586</x:v>
      </x:c>
      <x:c r="F150" s="50" t="str">
        <x:v>6711</x:v>
      </x:c>
      <x:c r="G150" s="45" t="str">
        <x:v>RECUPERACIÓN CIRUGÍA</x:v>
      </x:c>
      <x:c r="H150" s="45" t="str">
        <x:v>CAMILLA PRESENTA DAÑO EN PISTON DE ESPALDAR, FUNCIONA CON BSERVACIONES</x:v>
      </x:c>
      <x:c r="I150" s="45" t="n">
        <x:v>7</x:v>
      </x:c>
      <x:c r="J150" s="45" t="str">
        <x:v>Operativo con observaciones</x:v>
      </x:c>
      <x:c r="K150" s="45" t="str">
        <x:v>Operativo con observaciones</x:v>
      </x:c>
      <x:c r="L150" s="45" t="str">
        <x:v>RECUPERACIÓN CIRUGÍA</x:v>
      </x:c>
      <x:c r="M150" s="45" t="str">
        <x:v>base</x:v>
      </x:c>
      <x:c r="N150" s="45" t="str">
        <x:v>CAMILLA PRESENTA DAÑO EN PISTON DE ESPALDAR, FUNCIONA CON BSERVACIONES</x:v>
      </x:c>
      <x:c r="O150" s="49" t="str">
        <x:v>No indicada</x:v>
      </x:c>
      <x:c r="P150" s="50" t="str">
        <x:v>No aplica</x:v>
      </x:c>
      <x:c r="Q150" s="45" t="str">
        <x:v>No aplica</x:v>
      </x:c>
      <x:c r="R150" s="45" t="str"/>
      <x:c r="S150" s="45" t="str">
        <x:v>Gestionar observaciones originales y documentar verificación técnica posterior</x:v>
      </x:c>
      <x:c r="T150" s="45" t="str">
        <x:v>Intervención o verificación técnica</x:v>
      </x:c>
      <x:c r="U150" s="45" t="str">
        <x:v>S2, p. 7, ítem 146</x:v>
      </x:c>
      <x:c r="V150" s="45" t="str">
        <x:v>CAIMI-S2-146</x:v>
      </x:c>
    </x:row>
    <x:row r="151" ht="54" customHeight="1">
      <x:c r="A151" s="45" t="n">
        <x:v>147</x:v>
      </x:c>
      <x:c r="B151" s="45" t="str">
        <x:v>CAMILLA</x:v>
      </x:c>
      <x:c r="C151" s="45" t="str">
        <x:v>LOS PINOS</x:v>
      </x:c>
      <x:c r="D151" s="50" t="str">
        <x:v>C-396 V.14</x:v>
      </x:c>
      <x:c r="E151" s="50" t="str">
        <x:v>76368</x:v>
      </x:c>
      <x:c r="F151" s="50" t="str">
        <x:v>3280</x:v>
      </x:c>
      <x:c r="G151" s="45" t="str">
        <x:v>PREPARACIÓN PACIENTE</x:v>
      </x:c>
      <x:c r="H151" s="45" t="str">
        <x:v>FALTA CABLE AC, BARANDA PRESENTA DAÑO EN PIEZA DE TEFLON Y SISTEMA DE FRENOS DE LA BRANDA , NO TIENE CONTROL DE MANDO.FUNCIONA CON OBSERVACIONES</x:v>
      </x:c>
      <x:c r="I151" s="45" t="n">
        <x:v>7</x:v>
      </x:c>
      <x:c r="J151" s="45" t="str">
        <x:v>Operativo con observaciones</x:v>
      </x:c>
      <x:c r="K151" s="45" t="str">
        <x:v>Operativo con observaciones</x:v>
      </x:c>
      <x:c r="L151" s="45" t="str">
        <x:v>PREPARACIÓN PACIENTE</x:v>
      </x:c>
      <x:c r="M151" s="45" t="str">
        <x:v>base</x:v>
      </x:c>
      <x:c r="N151" s="45" t="str">
        <x:v>FALTA CABLE AC, BARANDA PRESENTA DAÑO EN PIEZA DE TEFLON Y SISTEMA DE FRENOS DE LA BRANDA , NO TIENE CONTROL DE MANDO.FUNCIONA CON OBSERVACIONES</x:v>
      </x:c>
      <x:c r="O151" s="49" t="str">
        <x:v>No indicada</x:v>
      </x:c>
      <x:c r="P151" s="50" t="str">
        <x:v>No aplica</x:v>
      </x:c>
      <x:c r="Q151" s="45" t="str">
        <x:v>No aplica</x:v>
      </x:c>
      <x:c r="R151" s="45" t="str"/>
      <x:c r="S151" s="45" t="str">
        <x:v>Gestionar observaciones originales y documentar verificación técnica posterior</x:v>
      </x:c>
      <x:c r="T151" s="45" t="str">
        <x:v>Intervención o verificación técnica</x:v>
      </x:c>
      <x:c r="U151" s="45" t="str">
        <x:v>S2, p. 7, ítem 147</x:v>
      </x:c>
      <x:c r="V151" s="45" t="str">
        <x:v>CAIMI-S2-147</x:v>
      </x:c>
    </x:row>
    <x:row r="152" ht="42" customHeight="1">
      <x:c r="A152" s="45" t="n">
        <x:v>148</x:v>
      </x:c>
      <x:c r="B152" s="45" t="str">
        <x:v>CAMILLA</x:v>
      </x:c>
      <x:c r="C152" s="45" t="str">
        <x:v>MUBI</x:v>
      </x:c>
      <x:c r="D152" s="50" t="str">
        <x:v>HYDRUX</x:v>
      </x:c>
      <x:c r="E152" s="50" t="str">
        <x:v>65967</x:v>
      </x:c>
      <x:c r="F152" s="50" t="str">
        <x:v>6296</x:v>
      </x:c>
      <x:c r="G152" s="45" t="str">
        <x:v>PREPARACIÓN PACIENTE</x:v>
      </x:c>
      <x:c r="H152" s="45" t="str">
        <x:v>EQUIPO OPERATIVO EN EL SERVICIO</x:v>
      </x:c>
      <x:c r="I152" s="45" t="n">
        <x:v>7</x:v>
      </x:c>
      <x:c r="J152" s="45" t="str">
        <x:v>Operativo explícito sin incidencia pendiente consignada</x:v>
      </x:c>
      <x:c r="K152" s="45" t="str">
        <x:v>Operativo explícito sin incidencia pendiente consignada</x:v>
      </x:c>
      <x:c r="L152" s="45" t="str">
        <x:v>PREPARACIÓN PACIENTE</x:v>
      </x:c>
      <x:c r="M152" s="45" t="str">
        <x:v>base</x:v>
      </x:c>
      <x:c r="N152" s="45" t="str">
        <x:v>EQUIPO OPERATIVO EN EL SERVICIO</x:v>
      </x:c>
      <x:c r="O152" s="49" t="str">
        <x:v>No indicada</x:v>
      </x:c>
      <x:c r="P152" s="50" t="str">
        <x:v>No aplica</x:v>
      </x:c>
      <x:c r="Q152" s="45" t="str">
        <x:v>No aplica</x:v>
      </x:c>
      <x:c r="R152" s="45" t="str"/>
      <x:c r="S152" s="45" t="str">
        <x:v>Mantener seguimiento preventivo institucional</x:v>
      </x:c>
      <x:c r="T152" s="45" t="str"/>
      <x:c r="U152" s="45" t="str">
        <x:v>S2, p. 7, ítem 148</x:v>
      </x:c>
      <x:c r="V152" s="45" t="str">
        <x:v>CAIMI-S2-148</x:v>
      </x:c>
    </x:row>
    <x:row r="153" ht="42" customHeight="1">
      <x:c r="A153" s="45" t="n">
        <x:v>149</x:v>
      </x:c>
      <x:c r="B153" s="45" t="str">
        <x:v>CAMA ELECTRICA</x:v>
      </x:c>
      <x:c r="C153" s="45" t="str">
        <x:v>LOS PINOS</x:v>
      </x:c>
      <x:c r="D153" s="50" t="str">
        <x:v>740L V01 , 08</x:v>
      </x:c>
      <x:c r="E153" s="50" t="str">
        <x:v>500236</x:v>
      </x:c>
      <x:c r="F153" s="50" t="str">
        <x:v>3420</x:v>
      </x:c>
      <x:c r="G153" s="45" t="str">
        <x:v>PREPARACIÓN PACIENTE</x:v>
      </x:c>
      <x:c r="H153" s="45" t="str">
        <x:v>FALTA CABLE AC, FUNCIONA CON OBSERVACIONES</x:v>
      </x:c>
      <x:c r="I153" s="45" t="n">
        <x:v>7</x:v>
      </x:c>
      <x:c r="J153" s="45" t="str">
        <x:v>Operativo con observaciones</x:v>
      </x:c>
      <x:c r="K153" s="45" t="str">
        <x:v>Operativo con observaciones</x:v>
      </x:c>
      <x:c r="L153" s="45" t="str">
        <x:v>PREPARACIÓN PACIENTE</x:v>
      </x:c>
      <x:c r="M153" s="45" t="str">
        <x:v>base</x:v>
      </x:c>
      <x:c r="N153" s="45" t="str">
        <x:v>FALTA CABLE AC, FUNCIONA CON OBSERVACIONES</x:v>
      </x:c>
      <x:c r="O153" s="49" t="str">
        <x:v>No indicada</x:v>
      </x:c>
      <x:c r="P153" s="50" t="str">
        <x:v>No aplica</x:v>
      </x:c>
      <x:c r="Q153" s="45" t="str">
        <x:v>No aplica</x:v>
      </x:c>
      <x:c r="R153" s="45" t="str"/>
      <x:c r="S153" s="45" t="str">
        <x:v>Gestionar observaciones originales y documentar verificación técnica posterior</x:v>
      </x:c>
      <x:c r="T153" s="45" t="str">
        <x:v>Intervención o verificación técnica</x:v>
      </x:c>
      <x:c r="U153" s="45" t="str">
        <x:v>S2, p. 7, ítem 149</x:v>
      </x:c>
      <x:c r="V153" s="45" t="str">
        <x:v>CAIMI-S2-149</x:v>
      </x:c>
    </x:row>
    <x:row r="154" ht="42" customHeight="1">
      <x:c r="A154" s="45" t="n">
        <x:v>150</x:v>
      </x:c>
      <x:c r="B154" s="45" t="str">
        <x:v>MESA DE CIRUGÍA</x:v>
      </x:c>
      <x:c r="C154" s="45" t="str">
        <x:v>BELMONT</x:v>
      </x:c>
      <x:c r="D154" s="50" t="str">
        <x:v>AT-260Z31P</x:v>
      </x:c>
      <x:c r="E154" s="50" t="str">
        <x:v>ET14D0006</x:v>
      </x:c>
      <x:c r="F154" s="50" t="str">
        <x:v>3279</x:v>
      </x:c>
      <x:c r="G154" s="45" t="str">
        <x:v>SALA DE PARTOS 1</x:v>
      </x:c>
      <x:c r="H154" s="45" t="str">
        <x:v>EQUIPO FUNCIONA CORRECTAMENTE</x:v>
      </x:c>
      <x:c r="I154" s="45" t="n">
        <x:v>7</x:v>
      </x:c>
      <x:c r="J154" s="45" t="str">
        <x:v>Operativo explícito sin incidencia pendiente consignada</x:v>
      </x:c>
      <x:c r="K154" s="45" t="str">
        <x:v>Operativo explícito sin incidencia pendiente consignada</x:v>
      </x:c>
      <x:c r="L154" s="45" t="str">
        <x:v>SALA DE PARTOS 1</x:v>
      </x:c>
      <x:c r="M154" s="45" t="str">
        <x:v>base</x:v>
      </x:c>
      <x:c r="N154" s="45" t="str">
        <x:v>EQUIPO FUNCIONA CORRECTAMENTE</x:v>
      </x:c>
      <x:c r="O154" s="49" t="str">
        <x:v>No indicada</x:v>
      </x:c>
      <x:c r="P154" s="50" t="str">
        <x:v>No aplica</x:v>
      </x:c>
      <x:c r="Q154" s="45" t="str">
        <x:v>No aplica</x:v>
      </x:c>
      <x:c r="R154" s="45" t="str"/>
      <x:c r="S154" s="45" t="str">
        <x:v>Mantener seguimiento preventivo institucional</x:v>
      </x:c>
      <x:c r="T154" s="45" t="str"/>
      <x:c r="U154" s="45" t="str">
        <x:v>S2, p. 7, ítem 150</x:v>
      </x:c>
      <x:c r="V154" s="45" t="str">
        <x:v>CAIMI-S2-150</x:v>
      </x:c>
    </x:row>
    <x:row r="155" ht="42" customHeight="1">
      <x:c r="A155" s="45" t="n">
        <x:v>151</x:v>
      </x:c>
      <x:c r="B155" s="45" t="str">
        <x:v>LÁMPARA DE CALOR RADIANTE</x:v>
      </x:c>
      <x:c r="C155" s="45" t="str">
        <x:v>ADVANCED</x:v>
      </x:c>
      <x:c r="D155" s="50" t="str">
        <x:v>AI A4051</x:v>
      </x:c>
      <x:c r="E155" s="50" t="str">
        <x:v>AAP071968</x:v>
      </x:c>
      <x:c r="F155" s="50" t="str">
        <x:v>6251</x:v>
      </x:c>
      <x:c r="G155" s="45" t="str">
        <x:v>SALA DE PARTOS 1</x:v>
      </x:c>
      <x:c r="H155" s="45" t="str">
        <x:v>EQUIPO FUNCIONA CORRECTAMENTE</x:v>
      </x:c>
      <x:c r="I155" s="45" t="n">
        <x:v>7</x:v>
      </x:c>
      <x:c r="J155" s="45" t="str">
        <x:v>Operativo explícito sin incidencia pendiente consignada</x:v>
      </x:c>
      <x:c r="K155" s="45" t="str">
        <x:v>Operativo explícito sin incidencia pendiente consignada</x:v>
      </x:c>
      <x:c r="L155" s="45" t="str">
        <x:v>SALA DE PARTOS 1</x:v>
      </x:c>
      <x:c r="M155" s="45" t="str">
        <x:v>base</x:v>
      </x:c>
      <x:c r="N155" s="45" t="str">
        <x:v>EQUIPO FUNCIONA CORRECTAMENTE</x:v>
      </x:c>
      <x:c r="O155" s="49" t="str">
        <x:v>No indicada</x:v>
      </x:c>
      <x:c r="P155" s="50" t="str">
        <x:v>No aplica</x:v>
      </x:c>
      <x:c r="Q155" s="45" t="str">
        <x:v>No aplica</x:v>
      </x:c>
      <x:c r="R155" s="45" t="str"/>
      <x:c r="S155" s="45" t="str">
        <x:v>Mantener seguimiento preventivo institucional</x:v>
      </x:c>
      <x:c r="T155" s="45" t="str"/>
      <x:c r="U155" s="45" t="str">
        <x:v>S2, p. 7, ítem 151</x:v>
      </x:c>
      <x:c r="V155" s="45" t="str">
        <x:v>CAIMI-S2-151</x:v>
      </x:c>
    </x:row>
    <x:row r="156" ht="42" customHeight="1">
      <x:c r="A156" s="45" t="n">
        <x:v>152</x:v>
      </x:c>
      <x:c r="B156" s="45" t="str">
        <x:v>INCUBADORA DE TRANSPORTE</x:v>
      </x:c>
      <x:c r="C156" s="45" t="str">
        <x:v>ADVANCED</x:v>
      </x:c>
      <x:c r="D156" s="50" t="str">
        <x:v>A3158</x:v>
      </x:c>
      <x:c r="E156" s="50" t="str">
        <x:v>GAP074934</x:v>
      </x:c>
      <x:c r="F156" s="50" t="str">
        <x:v>6249</x:v>
      </x:c>
      <x:c r="G156" s="45" t="str">
        <x:v>SALA DE PARTOS 1</x:v>
      </x:c>
      <x:c r="H156" s="45" t="str">
        <x:v>EQUIPO FUNCIONA CORRECTAMENTE, REQUIERE SENSOR DE PIEL , PERATIVO CON OBSERVACIONES</x:v>
      </x:c>
      <x:c r="I156" s="45" t="n">
        <x:v>7</x:v>
      </x:c>
      <x:c r="J156" s="45" t="str">
        <x:v>Operativo con observaciones</x:v>
      </x:c>
      <x:c r="K156" s="45" t="str">
        <x:v>Operativo con observaciones</x:v>
      </x:c>
      <x:c r="L156" s="45" t="str">
        <x:v>SALA DE PARTOS 1</x:v>
      </x:c>
      <x:c r="M156" s="45" t="str">
        <x:v>base</x:v>
      </x:c>
      <x:c r="N156" s="45" t="str">
        <x:v>EQUIPO FUNCIONA CORRECTAMENTE, REQUIERE SENSOR DE PIEL , PERATIVO CON OBSERVACIONES</x:v>
      </x:c>
      <x:c r="O156" s="49" t="str">
        <x:v>No indicada</x:v>
      </x:c>
      <x:c r="P156" s="50" t="str">
        <x:v>No aplica</x:v>
      </x:c>
      <x:c r="Q156" s="45" t="str">
        <x:v>No aplica</x:v>
      </x:c>
      <x:c r="R156" s="45" t="str"/>
      <x:c r="S156" s="45" t="str">
        <x:v>Gestionar observaciones originales y documentar verificación técnica posterior</x:v>
      </x:c>
      <x:c r="T156" s="45" t="str">
        <x:v>Intervención o verificación técnica</x:v>
      </x:c>
      <x:c r="U156" s="45" t="str">
        <x:v>S2, p. 7, ítem 152</x:v>
      </x:c>
      <x:c r="V156" s="45" t="str">
        <x:v>CAIMI-S2-152</x:v>
      </x:c>
    </x:row>
    <x:row r="157" ht="68" customHeight="1">
      <x:c r="A157" s="45" t="n">
        <x:v>153</x:v>
      </x:c>
      <x:c r="B157" s="45" t="str">
        <x:v>SUCCIONADOR</x:v>
      </x:c>
      <x:c r="C157" s="45" t="str">
        <x:v>THOMAS</x:v>
      </x:c>
      <x:c r="D157" s="50" t="str">
        <x:v>1130067</x:v>
      </x:c>
      <x:c r="E157" s="50" t="str">
        <x:v>10393</x:v>
      </x:c>
      <x:c r="F157" s="50" t="str">
        <x:v>3259</x:v>
      </x:c>
      <x:c r="G157" s="45" t="str">
        <x:v>SALA DE PARTOS 1</x:v>
      </x:c>
      <x:c r="H157" s="45" t="str">
        <x:v>EQUIPO NO SE ENCONTRO EN EL SERVICIO</x:v>
      </x:c>
      <x:c r="I157" s="45" t="n">
        <x:v>7</x:v>
      </x:c>
      <x:c r="J157" s="45" t="str">
        <x:v>No ubicado en la visita inicial</x:v>
      </x:c>
      <x:c r="K157" s="45" t="str">
        <x:v>Intervención en proceso</x:v>
      </x:c>
      <x:c r="L157" s="45" t="str">
        <x:v>Bodega de medicamentos de partos (observaciones); encabezado Sala de partos 1</x:v>
      </x:c>
      <x:c r="M157" s="45" t="str">
        <x:v>placa</x:v>
      </x:c>
      <x:c r="N157" s="45" t="str">
        <x:v>Servicio en proceso; requiere niple de 1/4 para fijar manguera siliconada</x:v>
      </x:c>
      <x:c r="O157" s="49" t="d">
        <x:v>2026-10-08T00:00:00.000Z</x:v>
      </x:c>
      <x:c r="P157" s="50" t="str">
        <x:v>43825</x:v>
      </x:c>
      <x:c r="Q157" s="45" t="n">
        <x:v>7</x:v>
      </x:c>
      <x:c r="R157" s="45" t="str">
        <x:v>Marca/modelo/serie no diligenciados en reporte; casilla de funcionamiento marcada, pero servicio en proceso y accesorio pendiente.</x:v>
      </x:c>
      <x:c r="S157" s="45" t="str">
        <x:v>Completar intervención, registrar resultado y ubicación</x:v>
      </x:c>
      <x:c r="T157" s="45" t="str">
        <x:v>Intervención o verificación técnica</x:v>
      </x:c>
      <x:c r="U157" s="45" t="str">
        <x:v>S1, p. 7, reporte 43825</x:v>
      </x:c>
      <x:c r="V157" s="45" t="str">
        <x:v>CAIMI-S2-153</x:v>
      </x:c>
    </x:row>
    <x:row r="158" ht="42" customHeight="1">
      <x:c r="A158" s="45" t="n">
        <x:v>154</x:v>
      </x:c>
      <x:c r="B158" s="45" t="str">
        <x:v>LÁMPARA CIELITICA</x:v>
      </x:c>
      <x:c r="C158" s="45" t="str">
        <x:v>MINDRAY</x:v>
      </x:c>
      <x:c r="D158" s="50" t="str">
        <x:v>HYLED 760</x:v>
      </x:c>
      <x:c r="E158" s="50" t="str">
        <x:v>15-9B000809</x:v>
      </x:c>
      <x:c r="F158" s="50" t="str">
        <x:v>6200</x:v>
      </x:c>
      <x:c r="G158" s="45" t="str">
        <x:v>SALA DE PARTOS 1</x:v>
      </x:c>
      <x:c r="H158" s="45" t="str">
        <x:v>EQUIPO OPERATIVO EN EL SERVICIO</x:v>
      </x:c>
      <x:c r="I158" s="45" t="n">
        <x:v>7</x:v>
      </x:c>
      <x:c r="J158" s="45" t="str">
        <x:v>Operativo explícito sin incidencia pendiente consignada</x:v>
      </x:c>
      <x:c r="K158" s="45" t="str">
        <x:v>Operativo explícito sin incidencia pendiente consignada</x:v>
      </x:c>
      <x:c r="L158" s="45" t="str">
        <x:v>SALA DE PARTOS 1</x:v>
      </x:c>
      <x:c r="M158" s="45" t="str">
        <x:v>base</x:v>
      </x:c>
      <x:c r="N158" s="45" t="str">
        <x:v>EQUIPO OPERATIVO EN EL SERVICIO</x:v>
      </x:c>
      <x:c r="O158" s="49" t="str">
        <x:v>No indicada</x:v>
      </x:c>
      <x:c r="P158" s="50" t="str">
        <x:v>No aplica</x:v>
      </x:c>
      <x:c r="Q158" s="45" t="str">
        <x:v>No aplica</x:v>
      </x:c>
      <x:c r="R158" s="45" t="str"/>
      <x:c r="S158" s="45" t="str">
        <x:v>Mantener seguimiento preventivo institucional</x:v>
      </x:c>
      <x:c r="T158" s="45" t="str"/>
      <x:c r="U158" s="45" t="str">
        <x:v>S2, p. 7, ítem 154</x:v>
      </x:c>
      <x:c r="V158" s="45" t="str">
        <x:v>CAIMI-S2-154</x:v>
      </x:c>
    </x:row>
    <x:row r="159" ht="42" customHeight="1">
      <x:c r="A159" s="45" t="n">
        <x:v>155</x:v>
      </x:c>
      <x:c r="B159" s="45" t="str">
        <x:v>INCUBADORA NEONATAL</x:v>
      </x:c>
      <x:c r="C159" s="45" t="str">
        <x:v>DRAGER</x:v>
      </x:c>
      <x:c r="D159" s="50" t="str">
        <x:v>ISOLETTE C2000</x:v>
      </x:c>
      <x:c r="E159" s="50" t="str">
        <x:v>DM30846</x:v>
      </x:c>
      <x:c r="F159" s="50" t="str">
        <x:v>3368</x:v>
      </x:c>
      <x:c r="G159" s="45" t="str">
        <x:v>SALA DE PARTOS 2</x:v>
      </x:c>
      <x:c r="H159" s="45" t="str">
        <x:v>EQUIPO OPERATIVO EN EL SERVICIO</x:v>
      </x:c>
      <x:c r="I159" s="45" t="n">
        <x:v>7</x:v>
      </x:c>
      <x:c r="J159" s="45" t="str">
        <x:v>Operativo explícito sin incidencia pendiente consignada</x:v>
      </x:c>
      <x:c r="K159" s="45" t="str">
        <x:v>Operativo explícito sin incidencia pendiente consignada</x:v>
      </x:c>
      <x:c r="L159" s="45" t="str">
        <x:v>SALA DE PARTOS 2</x:v>
      </x:c>
      <x:c r="M159" s="45" t="str">
        <x:v>base</x:v>
      </x:c>
      <x:c r="N159" s="45" t="str">
        <x:v>EQUIPO OPERATIVO EN EL SERVICIO</x:v>
      </x:c>
      <x:c r="O159" s="49" t="str">
        <x:v>No indicada</x:v>
      </x:c>
      <x:c r="P159" s="50" t="str">
        <x:v>No aplica</x:v>
      </x:c>
      <x:c r="Q159" s="45" t="str">
        <x:v>No aplica</x:v>
      </x:c>
      <x:c r="R159" s="45" t="str"/>
      <x:c r="S159" s="45" t="str">
        <x:v>Mantener seguimiento preventivo institucional</x:v>
      </x:c>
      <x:c r="T159" s="45" t="str"/>
      <x:c r="U159" s="45" t="str">
        <x:v>S2, p. 7, ítem 155</x:v>
      </x:c>
      <x:c r="V159" s="45" t="str">
        <x:v>CAIMI-S2-155</x:v>
      </x:c>
    </x:row>
    <x:row r="160" ht="42" customHeight="1">
      <x:c r="A160" s="45" t="n">
        <x:v>156</x:v>
      </x:c>
      <x:c r="B160" s="45" t="str">
        <x:v>MESA DE CIRUGÍA</x:v>
      </x:c>
      <x:c r="C160" s="45" t="str">
        <x:v>BELMONT</x:v>
      </x:c>
      <x:c r="D160" s="50" t="str">
        <x:v>AT-260Z31P</x:v>
      </x:c>
      <x:c r="E160" s="50" t="str">
        <x:v>ET14D0005</x:v>
      </x:c>
      <x:c r="F160" s="50" t="str">
        <x:v>3278</x:v>
      </x:c>
      <x:c r="G160" s="45" t="str">
        <x:v>SALA DE PARTOS 2</x:v>
      </x:c>
      <x:c r="H160" s="45" t="str">
        <x:v>EQUIPO OPERATIVO EN EL SERVICIO</x:v>
      </x:c>
      <x:c r="I160" s="45" t="n">
        <x:v>7</x:v>
      </x:c>
      <x:c r="J160" s="45" t="str">
        <x:v>Operativo explícito sin incidencia pendiente consignada</x:v>
      </x:c>
      <x:c r="K160" s="45" t="str">
        <x:v>Operativo explícito sin incidencia pendiente consignada</x:v>
      </x:c>
      <x:c r="L160" s="45" t="str">
        <x:v>SALA DE PARTOS 2</x:v>
      </x:c>
      <x:c r="M160" s="45" t="str">
        <x:v>base</x:v>
      </x:c>
      <x:c r="N160" s="45" t="str">
        <x:v>EQUIPO OPERATIVO EN EL SERVICIO</x:v>
      </x:c>
      <x:c r="O160" s="49" t="str">
        <x:v>No indicada</x:v>
      </x:c>
      <x:c r="P160" s="50" t="str">
        <x:v>No aplica</x:v>
      </x:c>
      <x:c r="Q160" s="45" t="str">
        <x:v>No aplica</x:v>
      </x:c>
      <x:c r="R160" s="45" t="str"/>
      <x:c r="S160" s="45" t="str">
        <x:v>Mantener seguimiento preventivo institucional</x:v>
      </x:c>
      <x:c r="T160" s="45" t="str"/>
      <x:c r="U160" s="45" t="str">
        <x:v>S2, p. 7, ítem 156</x:v>
      </x:c>
      <x:c r="V160" s="45" t="str">
        <x:v>CAIMI-S2-156</x:v>
      </x:c>
    </x:row>
    <x:row r="161" ht="42" customHeight="1">
      <x:c r="A161" s="45" t="n">
        <x:v>157</x:v>
      </x:c>
      <x:c r="B161" s="45" t="str">
        <x:v>LÁMPARA CIELITICA</x:v>
      </x:c>
      <x:c r="C161" s="45" t="str">
        <x:v>MINDRAY</x:v>
      </x:c>
      <x:c r="D161" s="50" t="str">
        <x:v>HYLED 760</x:v>
      </x:c>
      <x:c r="E161" s="50" t="str">
        <x:v>15-9B000810</x:v>
      </x:c>
      <x:c r="F161" s="50" t="str">
        <x:v>6199</x:v>
      </x:c>
      <x:c r="G161" s="45" t="str">
        <x:v>SALA DE PARTOS 2</x:v>
      </x:c>
      <x:c r="H161" s="45" t="str">
        <x:v>EQUIPO FUNCIONA CORRECTAMENTE, RECOMIENDO RUTINAS DE IMPIEZA</x:v>
      </x:c>
      <x:c r="I161" s="45" t="n">
        <x:v>7</x:v>
      </x:c>
      <x:c r="J161" s="45" t="str">
        <x:v>Operativo explícito sin incidencia pendiente consignada</x:v>
      </x:c>
      <x:c r="K161" s="45" t="str">
        <x:v>Operativo explícito sin incidencia pendiente consignada</x:v>
      </x:c>
      <x:c r="L161" s="45" t="str">
        <x:v>SALA DE PARTOS 2</x:v>
      </x:c>
      <x:c r="M161" s="45" t="str">
        <x:v>base</x:v>
      </x:c>
      <x:c r="N161" s="45" t="str">
        <x:v>EQUIPO FUNCIONA CORRECTAMENTE, RECOMIENDO RUTINAS DE IMPIEZA</x:v>
      </x:c>
      <x:c r="O161" s="49" t="str">
        <x:v>No indicada</x:v>
      </x:c>
      <x:c r="P161" s="50" t="str">
        <x:v>No aplica</x:v>
      </x:c>
      <x:c r="Q161" s="45" t="str">
        <x:v>No aplica</x:v>
      </x:c>
      <x:c r="R161" s="45" t="str"/>
      <x:c r="S161" s="45" t="str">
        <x:v>Mantener seguimiento preventivo institucional</x:v>
      </x:c>
      <x:c r="T161" s="45" t="str"/>
      <x:c r="U161" s="45" t="str">
        <x:v>S2, p. 7, ítem 157</x:v>
      </x:c>
      <x:c r="V161" s="45" t="str">
        <x:v>CAIMI-S2-157</x:v>
      </x:c>
    </x:row>
    <x:row r="162" ht="42" customHeight="1">
      <x:c r="A162" s="45" t="n">
        <x:v>158</x:v>
      </x:c>
      <x:c r="B162" s="45" t="str">
        <x:v>LÁMPARA DE CALOR RADIANTE</x:v>
      </x:c>
      <x:c r="C162" s="45" t="str">
        <x:v>ADVANCED</x:v>
      </x:c>
      <x:c r="D162" s="50" t="str">
        <x:v>AI A4051</x:v>
      </x:c>
      <x:c r="E162" s="50" t="str">
        <x:v>AAP071960</x:v>
      </x:c>
      <x:c r="F162" s="50" t="str">
        <x:v>6250</x:v>
      </x:c>
      <x:c r="G162" s="45" t="str">
        <x:v>SALA DE PARTOS 2</x:v>
      </x:c>
      <x:c r="H162" s="45" t="str">
        <x:v>EQUIPO FUNCIONA CORRECTAMENTE, CUMPLE CON PARAMETROS DE SERVO, TEMPERATURA Y POTENCIA</x:v>
      </x:c>
      <x:c r="I162" s="45" t="n">
        <x:v>7</x:v>
      </x:c>
      <x:c r="J162" s="45" t="str">
        <x:v>Operativo explícito sin incidencia pendiente consignada</x:v>
      </x:c>
      <x:c r="K162" s="45" t="str">
        <x:v>Operativo explícito sin incidencia pendiente consignada</x:v>
      </x:c>
      <x:c r="L162" s="45" t="str">
        <x:v>SALA DE PARTOS 2</x:v>
      </x:c>
      <x:c r="M162" s="45" t="str">
        <x:v>base</x:v>
      </x:c>
      <x:c r="N162" s="45" t="str">
        <x:v>EQUIPO FUNCIONA CORRECTAMENTE, CUMPLE CON PARAMETROS DE SERVO, TEMPERATURA Y POTENCIA</x:v>
      </x:c>
      <x:c r="O162" s="49" t="str">
        <x:v>No indicada</x:v>
      </x:c>
      <x:c r="P162" s="50" t="str">
        <x:v>No aplica</x:v>
      </x:c>
      <x:c r="Q162" s="45" t="str">
        <x:v>No aplica</x:v>
      </x:c>
      <x:c r="R162" s="45" t="str"/>
      <x:c r="S162" s="45" t="str">
        <x:v>Mantener seguimiento preventivo institucional</x:v>
      </x:c>
      <x:c r="T162" s="45" t="str"/>
      <x:c r="U162" s="45" t="str">
        <x:v>S2, p. 7, ítem 158</x:v>
      </x:c>
      <x:c r="V162" s="45" t="str">
        <x:v>CAIMI-S2-158</x:v>
      </x:c>
    </x:row>
    <x:row r="163" ht="54" customHeight="1">
      <x:c r="A163" s="45" t="n">
        <x:v>159</x:v>
      </x:c>
      <x:c r="B163" s="45" t="str">
        <x:v>MÁQUINA DE ANESTESIA</x:v>
      </x:c>
      <x:c r="C163" s="45" t="str">
        <x:v>MINDRAY</x:v>
      </x:c>
      <x:c r="D163" s="50" t="str">
        <x:v>WATO EX- 65 PRO</x:v>
      </x:c>
      <x:c r="E163" s="50" t="str">
        <x:v>KY-96001411</x:v>
      </x:c>
      <x:c r="F163" s="50" t="str">
        <x:v>6245</x:v>
      </x:c>
      <x:c r="G163" s="45" t="str">
        <x:v>SALA DE PARTOS 2</x:v>
      </x:c>
      <x:c r="H163" s="45" t="str">
        <x:v>EQUIPO REQUIERE SUMINISTRO DE GASES PARA REALIZAR PRUEBA DE FUGAS Y REQUIERE LA CELDA DE OXIGENO PARA CALIBRAR SISTEMA Y PARA CICLAR LA MAQUINA</x:v>
      </x:c>
      <x:c r="I163" s="45" t="n">
        <x:v>7</x:v>
      </x:c>
      <x:c r="J163" s="45" t="str">
        <x:v>Condición técnica por verificar</x:v>
      </x:c>
      <x:c r="K163" s="45" t="str">
        <x:v>Condición técnica por verificar</x:v>
      </x:c>
      <x:c r="L163" s="45" t="str">
        <x:v>SALA DE PARTOS 2</x:v>
      </x:c>
      <x:c r="M163" s="45" t="str">
        <x:v>base</x:v>
      </x:c>
      <x:c r="N163" s="45" t="str">
        <x:v>EQUIPO REQUIERE SUMINISTRO DE GASES PARA REALIZAR PRUEBA DE FUGAS Y REQUIERE LA CELDA DE OXIGENO PARA CALIBRAR SISTEMA Y PARA CICLAR LA MAQUINA</x:v>
      </x:c>
      <x:c r="O163" s="49" t="str">
        <x:v>No indicada</x:v>
      </x:c>
      <x:c r="P163" s="50" t="str">
        <x:v>No aplica</x:v>
      </x:c>
      <x:c r="Q163" s="45" t="str">
        <x:v>No aplica</x:v>
      </x:c>
      <x:c r="R163" s="45" t="str"/>
      <x:c r="S163" s="45" t="str">
        <x:v>Gestionar observaciones originales y documentar verificación técnica posterior</x:v>
      </x:c>
      <x:c r="T163" s="45" t="str">
        <x:v>Intervención o verificación técnica</x:v>
      </x:c>
      <x:c r="U163" s="45" t="str">
        <x:v>S2, p. 7, ítem 159</x:v>
      </x:c>
      <x:c r="V163" s="45" t="str">
        <x:v>CAIMI-S2-159</x:v>
      </x:c>
    </x:row>
    <x:row r="164" ht="42" customHeight="1">
      <x:c r="A164" s="45" t="n">
        <x:v>160</x:v>
      </x:c>
      <x:c r="B164" s="45" t="str">
        <x:v>MESA DE CIRUGÍA</x:v>
      </x:c>
      <x:c r="C164" s="45" t="str">
        <x:v>BELMONT</x:v>
      </x:c>
      <x:c r="D164" s="50" t="str">
        <x:v>AT-260Z31P</x:v>
      </x:c>
      <x:c r="E164" s="50" t="str">
        <x:v>ET14D0007</x:v>
      </x:c>
      <x:c r="F164" s="50" t="str">
        <x:v>3277</x:v>
      </x:c>
      <x:c r="G164" s="45" t="str">
        <x:v>SALA DE CIRUGÍA</x:v>
      </x:c>
      <x:c r="H164" s="45" t="str">
        <x:v>EQUIPO FUNCIOAN CORRECTAMENTE TODOS SUS MOVIMIENTOS</x:v>
      </x:c>
      <x:c r="I164" s="45" t="n">
        <x:v>7</x:v>
      </x:c>
      <x:c r="J164" s="45" t="str">
        <x:v>Operativo explícito sin incidencia pendiente consignada</x:v>
      </x:c>
      <x:c r="K164" s="45" t="str">
        <x:v>Operativo explícito sin incidencia pendiente consignada</x:v>
      </x:c>
      <x:c r="L164" s="45" t="str">
        <x:v>SALA DE CIRUGÍA</x:v>
      </x:c>
      <x:c r="M164" s="45" t="str">
        <x:v>base</x:v>
      </x:c>
      <x:c r="N164" s="45" t="str">
        <x:v>EQUIPO FUNCIOAN CORRECTAMENTE TODOS SUS MOVIMIENTOS</x:v>
      </x:c>
      <x:c r="O164" s="49" t="str">
        <x:v>No indicada</x:v>
      </x:c>
      <x:c r="P164" s="50" t="str">
        <x:v>No aplica</x:v>
      </x:c>
      <x:c r="Q164" s="45" t="str">
        <x:v>No aplica</x:v>
      </x:c>
      <x:c r="R164" s="45" t="str"/>
      <x:c r="S164" s="45" t="str">
        <x:v>Mantener seguimiento preventivo institucional</x:v>
      </x:c>
      <x:c r="T164" s="45" t="str"/>
      <x:c r="U164" s="45" t="str">
        <x:v>S2, p. 7, ítem 160</x:v>
      </x:c>
      <x:c r="V164" s="45" t="str">
        <x:v>CAIMI-S2-160</x:v>
      </x:c>
    </x:row>
    <x:row r="165" ht="42" customHeight="1">
      <x:c r="A165" s="45" t="n">
        <x:v>161</x:v>
      </x:c>
      <x:c r="B165" s="45" t="str">
        <x:v>LÁMPARA CIELITICA</x:v>
      </x:c>
      <x:c r="C165" s="45" t="str">
        <x:v>KLS MARTIN</x:v>
      </x:c>
      <x:c r="D165" s="50" t="str">
        <x:v>MARLED E9</x:v>
      </x:c>
      <x:c r="E165" s="50" t="str">
        <x:v>ME_9A2A 30 14 14C2219</x:v>
      </x:c>
      <x:c r="F165" s="50" t="str">
        <x:v>3290</x:v>
      </x:c>
      <x:c r="G165" s="45" t="str">
        <x:v>SALA DE CIRUGÍA</x:v>
      </x:c>
      <x:c r="H165" s="45" t="str">
        <x:v>EQUIPO FUNCIONAL PRESENTA CORROSION Y OXIDACION POR RESIDUOS EN PARTES METALICAS</x:v>
      </x:c>
      <x:c r="I165" s="45" t="n">
        <x:v>7</x:v>
      </x:c>
      <x:c r="J165" s="45" t="str">
        <x:v>Operativo con observaciones</x:v>
      </x:c>
      <x:c r="K165" s="45" t="str">
        <x:v>Operativo con observaciones</x:v>
      </x:c>
      <x:c r="L165" s="45" t="str">
        <x:v>SALA DE CIRUGÍA</x:v>
      </x:c>
      <x:c r="M165" s="45" t="str">
        <x:v>base</x:v>
      </x:c>
      <x:c r="N165" s="45" t="str">
        <x:v>EQUIPO FUNCIONAL PRESENTA CORROSION Y OXIDACION POR RESIDUOS EN PARTES METALICAS</x:v>
      </x:c>
      <x:c r="O165" s="49" t="str">
        <x:v>No indicada</x:v>
      </x:c>
      <x:c r="P165" s="50" t="str">
        <x:v>No aplica</x:v>
      </x:c>
      <x:c r="Q165" s="45" t="str">
        <x:v>No aplica</x:v>
      </x:c>
      <x:c r="R165" s="45" t="str"/>
      <x:c r="S165" s="45" t="str">
        <x:v>Gestionar observaciones originales y documentar verificación técnica posterior</x:v>
      </x:c>
      <x:c r="T165" s="45" t="str">
        <x:v>Intervención o verificación técnica; Corrosión / desgaste / deterioro</x:v>
      </x:c>
      <x:c r="U165" s="45" t="str">
        <x:v>S2, p. 7, ítem 161</x:v>
      </x:c>
      <x:c r="V165" s="45" t="str">
        <x:v>CAIMI-S2-161</x:v>
      </x:c>
    </x:row>
    <x:row r="166" ht="42" customHeight="1">
      <x:c r="A166" s="45" t="n">
        <x:v>162</x:v>
      </x:c>
      <x:c r="B166" s="45" t="str">
        <x:v>LÁMPARA DE CALOR RADIANTE</x:v>
      </x:c>
      <x:c r="C166" s="45" t="str">
        <x:v>DRAGER</x:v>
      </x:c>
      <x:c r="D166" s="50" t="str">
        <x:v>BABYTHER M 8004</x:v>
      </x:c>
      <x:c r="E166" s="50" t="str">
        <x:v>ASFE-0090</x:v>
      </x:c>
      <x:c r="F166" s="50" t="str">
        <x:v>3369</x:v>
      </x:c>
      <x:c r="G166" s="45" t="str">
        <x:v>SALA DE CIRUGÍA</x:v>
      </x:c>
      <x:c r="H166" s="45" t="str">
        <x:v>EQUIPO TIENE DAÑADO PASADOR Y REQUIERE SENSOR DE TEMPERATURA.FUNCIONA CON OBSERVACIONES</x:v>
      </x:c>
      <x:c r="I166" s="45" t="n">
        <x:v>7</x:v>
      </x:c>
      <x:c r="J166" s="45" t="str">
        <x:v>Operativo con observaciones</x:v>
      </x:c>
      <x:c r="K166" s="45" t="str">
        <x:v>Operativo con observaciones</x:v>
      </x:c>
      <x:c r="L166" s="45" t="str">
        <x:v>SALA DE CIRUGÍA</x:v>
      </x:c>
      <x:c r="M166" s="45" t="str">
        <x:v>base</x:v>
      </x:c>
      <x:c r="N166" s="45" t="str">
        <x:v>EQUIPO TIENE DAÑADO PASADOR Y REQUIERE SENSOR DE TEMPERATURA.FUNCIONA CON OBSERVACIONES</x:v>
      </x:c>
      <x:c r="O166" s="49" t="str">
        <x:v>No indicada</x:v>
      </x:c>
      <x:c r="P166" s="50" t="str">
        <x:v>No aplica</x:v>
      </x:c>
      <x:c r="Q166" s="45" t="str">
        <x:v>No aplica</x:v>
      </x:c>
      <x:c r="R166" s="45" t="str"/>
      <x:c r="S166" s="45" t="str">
        <x:v>Gestionar observaciones originales y documentar verificación técnica posterior</x:v>
      </x:c>
      <x:c r="T166" s="45" t="str">
        <x:v>Intervención o verificación técnica</x:v>
      </x:c>
      <x:c r="U166" s="45" t="str">
        <x:v>S2, p. 7, ítem 162</x:v>
      </x:c>
      <x:c r="V166" s="45" t="str">
        <x:v>CAIMI-S2-162</x:v>
      </x:c>
    </x:row>
    <x:row r="167" ht="54" customHeight="1">
      <x:c r="A167" s="45" t="n">
        <x:v>163</x:v>
      </x:c>
      <x:c r="B167" s="45" t="str">
        <x:v>LÁMPARA DE CALOR RADIANTE</x:v>
      </x:c>
      <x:c r="C167" s="45" t="str">
        <x:v>FANEM</x:v>
      </x:c>
      <x:c r="D167" s="50" t="str">
        <x:v>2051-LDR</x:v>
      </x:c>
      <x:c r="E167" s="50" t="str">
        <x:v>GAA 4815</x:v>
      </x:c>
      <x:c r="F167" s="50" t="str">
        <x:v>3396</x:v>
      </x:c>
      <x:c r="G167" s="45" t="str">
        <x:v>SALA DE CIRUGÍA</x:v>
      </x:c>
      <x:c r="H167" s="45" t="str">
        <x:v>EQUIPO PRESENTA CORROSION EN LA BASE DE LA CUNA , EL LABEL PRESENTA MAL ESTAD Y FALTA SESOR DE PIEL.FUNCIONA CON OBSERVACIONES</x:v>
      </x:c>
      <x:c r="I167" s="45" t="n">
        <x:v>7</x:v>
      </x:c>
      <x:c r="J167" s="45" t="str">
        <x:v>Operativo con observaciones</x:v>
      </x:c>
      <x:c r="K167" s="45" t="str">
        <x:v>Operativo con observaciones</x:v>
      </x:c>
      <x:c r="L167" s="45" t="str">
        <x:v>SALA DE CIRUGÍA</x:v>
      </x:c>
      <x:c r="M167" s="45" t="str">
        <x:v>base</x:v>
      </x:c>
      <x:c r="N167" s="45" t="str">
        <x:v>EQUIPO PRESENTA CORROSION EN LA BASE DE LA CUNA , EL LABEL PRESENTA MAL ESTAD Y FALTA SESOR DE PIEL.FUNCIONA CON OBSERVACIONES</x:v>
      </x:c>
      <x:c r="O167" s="49" t="str">
        <x:v>No indicada</x:v>
      </x:c>
      <x:c r="P167" s="50" t="str">
        <x:v>No aplica</x:v>
      </x:c>
      <x:c r="Q167" s="45" t="str">
        <x:v>No aplica</x:v>
      </x:c>
      <x:c r="R167" s="45" t="str"/>
      <x:c r="S167" s="45" t="str">
        <x:v>Gestionar observaciones originales y documentar verificación técnica posterior</x:v>
      </x:c>
      <x:c r="T167" s="45" t="str">
        <x:v>Intervención o verificación técnica; Corrosión / desgaste / deterioro</x:v>
      </x:c>
      <x:c r="U167" s="45" t="str">
        <x:v>S2, p. 7, ítem 163</x:v>
      </x:c>
      <x:c r="V167" s="45" t="str">
        <x:v>CAIMI-S2-163</x:v>
      </x:c>
    </x:row>
    <x:row r="168" ht="54" customHeight="1">
      <x:c r="A168" s="45" t="n">
        <x:v>164</x:v>
      </x:c>
      <x:c r="B168" s="45" t="str">
        <x:v>MÁQUINA DE ANESTESIA</x:v>
      </x:c>
      <x:c r="C168" s="45" t="str">
        <x:v>MINDRAY</x:v>
      </x:c>
      <x:c r="D168" s="50" t="str">
        <x:v>WATO EX- 65 PRO</x:v>
      </x:c>
      <x:c r="E168" s="50" t="str">
        <x:v>KY-89000894</x:v>
      </x:c>
      <x:c r="F168" s="50" t="str">
        <x:v>6247</x:v>
      </x:c>
      <x:c r="G168" s="45" t="str">
        <x:v>SALA DE CIRUGÍA</x:v>
      </x:c>
      <x:c r="H168" s="45" t="str">
        <x:v>NO POSEE SUMINISTRO DE GASES MEDICINALES PARA REALIZAR TEST DE FUGAS, REQUIERE CAMBIO DE CELDA DE OXIGENO PARA CALIBRAR MAQUINA Y PONERLA A CICLAR</x:v>
      </x:c>
      <x:c r="I168" s="45" t="n">
        <x:v>8</x:v>
      </x:c>
      <x:c r="J168" s="45" t="str">
        <x:v>Condición técnica por verificar</x:v>
      </x:c>
      <x:c r="K168" s="45" t="str">
        <x:v>Condición técnica por verificar</x:v>
      </x:c>
      <x:c r="L168" s="45" t="str">
        <x:v>SALA DE CIRUGÍA</x:v>
      </x:c>
      <x:c r="M168" s="45" t="str">
        <x:v>base</x:v>
      </x:c>
      <x:c r="N168" s="45" t="str">
        <x:v>NO POSEE SUMINISTRO DE GASES MEDICINALES PARA REALIZAR TEST DE FUGAS, REQUIERE CAMBIO DE CELDA DE OXIGENO PARA CALIBRAR MAQUINA Y PONERLA A CICLAR</x:v>
      </x:c>
      <x:c r="O168" s="49" t="str">
        <x:v>No indicada</x:v>
      </x:c>
      <x:c r="P168" s="50" t="str">
        <x:v>No aplica</x:v>
      </x:c>
      <x:c r="Q168" s="45" t="str">
        <x:v>No aplica</x:v>
      </x:c>
      <x:c r="R168" s="45" t="str"/>
      <x:c r="S168" s="45" t="str">
        <x:v>Gestionar observaciones originales y documentar verificación técnica posterior</x:v>
      </x:c>
      <x:c r="T168" s="45" t="str">
        <x:v>Intervención o verificación técnica</x:v>
      </x:c>
      <x:c r="U168" s="45" t="str">
        <x:v>S2, p. 8, ítem 164</x:v>
      </x:c>
      <x:c r="V168" s="45" t="str">
        <x:v>CAIMI-S2-164</x:v>
      </x:c>
    </x:row>
    <x:row r="169" ht="42" customHeight="1">
      <x:c r="A169" s="45" t="n">
        <x:v>165</x:v>
      </x:c>
      <x:c r="B169" s="45" t="str">
        <x:v>ELECTROBISTURI</x:v>
      </x:c>
      <x:c r="C169" s="45" t="str">
        <x:v>WEM</x:v>
      </x:c>
      <x:c r="D169" s="50" t="str">
        <x:v>SS-501SX</x:v>
      </x:c>
      <x:c r="E169" s="50" t="str">
        <x:v>CAD0003393</x:v>
      </x:c>
      <x:c r="F169" s="50" t="str">
        <x:v>6255</x:v>
      </x:c>
      <x:c r="G169" s="45" t="str">
        <x:v>SALA DE CIRUGÍA</x:v>
      </x:c>
      <x:c r="H169" s="45" t="str">
        <x:v>REQUIERE PLACA PACIENTE Y LAPIZ PARA REALIZAR PRUEBAS DE CORTE Y COAGULACION.ACCESORIOS PEDAL.</x:v>
      </x:c>
      <x:c r="I169" s="45" t="n">
        <x:v>8</x:v>
      </x:c>
      <x:c r="J169" s="45" t="str">
        <x:v>Condición técnica por verificar</x:v>
      </x:c>
      <x:c r="K169" s="45" t="str">
        <x:v>Condición técnica por verificar</x:v>
      </x:c>
      <x:c r="L169" s="45" t="str">
        <x:v>SALA DE CIRUGÍA</x:v>
      </x:c>
      <x:c r="M169" s="45" t="str">
        <x:v>base</x:v>
      </x:c>
      <x:c r="N169" s="45" t="str">
        <x:v>REQUIERE PLACA PACIENTE Y LAPIZ PARA REALIZAR PRUEBAS DE CORTE Y COAGULACION.ACCESORIOS PEDAL.</x:v>
      </x:c>
      <x:c r="O169" s="49" t="str">
        <x:v>No indicada</x:v>
      </x:c>
      <x:c r="P169" s="50" t="str">
        <x:v>No aplica</x:v>
      </x:c>
      <x:c r="Q169" s="45" t="str">
        <x:v>No aplica</x:v>
      </x:c>
      <x:c r="R169" s="45" t="str"/>
      <x:c r="S169" s="45" t="str">
        <x:v>Gestionar observaciones originales y documentar verificación técnica posterior</x:v>
      </x:c>
      <x:c r="T169" s="45" t="str">
        <x:v>Intervención o verificación técnica</x:v>
      </x:c>
      <x:c r="U169" s="45" t="str">
        <x:v>S2, p. 8, ítem 165</x:v>
      </x:c>
      <x:c r="V169" s="45" t="str">
        <x:v>CAIMI-S2-165</x:v>
      </x:c>
    </x:row>
    <x:row r="170" ht="42" customHeight="1">
      <x:c r="A170" s="45" t="n">
        <x:v>166</x:v>
      </x:c>
      <x:c r="B170" s="45" t="str">
        <x:v>ELECTROCARDIOGR AFO</x:v>
      </x:c>
      <x:c r="C170" s="45" t="str">
        <x:v>EDAN</x:v>
      </x:c>
      <x:c r="D170" s="50" t="str">
        <x:v>SE-3</x:v>
      </x:c>
      <x:c r="E170" s="50" t="str">
        <x:v>309025- M14400510019</x:v>
      </x:c>
      <x:c r="F170" s="50" t="str">
        <x:v>3229</x:v>
      </x:c>
      <x:c r="G170" s="45" t="str">
        <x:v>MONITORIAS</x:v>
      </x:c>
      <x:c r="H170" s="45" t="str">
        <x:v>EQUIPO FUNCIONA CORRECTAMENTE, PRESENTA CABLE EKG EN MAL ESTADO , SE RECOMIENDA CAMBIO</x:v>
      </x:c>
      <x:c r="I170" s="45" t="n">
        <x:v>8</x:v>
      </x:c>
      <x:c r="J170" s="45" t="str">
        <x:v>Operativo con observaciones</x:v>
      </x:c>
      <x:c r="K170" s="45" t="str">
        <x:v>Operativo con observaciones</x:v>
      </x:c>
      <x:c r="L170" s="45" t="str">
        <x:v>MONITORIAS</x:v>
      </x:c>
      <x:c r="M170" s="45" t="str">
        <x:v>base</x:v>
      </x:c>
      <x:c r="N170" s="45" t="str">
        <x:v>EQUIPO FUNCIONA CORRECTAMENTE, PRESENTA CABLE EKG EN MAL ESTADO , SE RECOMIENDA CAMBIO</x:v>
      </x:c>
      <x:c r="O170" s="49" t="str">
        <x:v>No indicada</x:v>
      </x:c>
      <x:c r="P170" s="50" t="str">
        <x:v>No aplica</x:v>
      </x:c>
      <x:c r="Q170" s="45" t="str">
        <x:v>No aplica</x:v>
      </x:c>
      <x:c r="R170" s="45" t="str"/>
      <x:c r="S170" s="45" t="str">
        <x:v>Gestionar observaciones originales y documentar verificación técnica posterior</x:v>
      </x:c>
      <x:c r="T170" s="45" t="str">
        <x:v>Intervención o verificación técnica</x:v>
      </x:c>
      <x:c r="U170" s="45" t="str">
        <x:v>S2, p. 8, ítem 166</x:v>
      </x:c>
      <x:c r="V170" s="45" t="str">
        <x:v>CAIMI-S2-166</x:v>
      </x:c>
    </x:row>
    <x:row r="171" ht="42" customHeight="1">
      <x:c r="A171" s="45" t="n">
        <x:v>167</x:v>
      </x:c>
      <x:c r="B171" s="45" t="str">
        <x:v>BASCULA DIGITAL</x:v>
      </x:c>
      <x:c r="C171" s="45" t="str">
        <x:v>BADECOL</x:v>
      </x:c>
      <x:c r="D171" s="50" t="str">
        <x:v>EB7005</x:v>
      </x:c>
      <x:c r="E171" s="50" t="str">
        <x:v>25689-125</x:v>
      </x:c>
      <x:c r="F171" s="50" t="str">
        <x:v>8624</x:v>
      </x:c>
      <x:c r="G171" s="45" t="str">
        <x:v>URG-HIDRATACION</x:v>
      </x:c>
      <x:c r="H171" s="45" t="str">
        <x:v>SE INSTALAN BATERIAS . EQUIPO FUNCIONA CORRECTAMENTE, CUMPLE CON PARAMETROS DE MASA</x:v>
      </x:c>
      <x:c r="I171" s="45" t="n">
        <x:v>8</x:v>
      </x:c>
      <x:c r="J171" s="45" t="str">
        <x:v>Operativo explícito sin incidencia pendiente consignada</x:v>
      </x:c>
      <x:c r="K171" s="45" t="str">
        <x:v>Operativo explícito sin incidencia pendiente consignada</x:v>
      </x:c>
      <x:c r="L171" s="45" t="str">
        <x:v>URG-HIDRATACION</x:v>
      </x:c>
      <x:c r="M171" s="45" t="str">
        <x:v>base</x:v>
      </x:c>
      <x:c r="N171" s="45" t="str">
        <x:v>SE INSTALAN BATERIAS . EQUIPO FUNCIONA CORRECTAMENTE, CUMPLE CON PARAMETROS DE MASA</x:v>
      </x:c>
      <x:c r="O171" s="49" t="str">
        <x:v>No indicada</x:v>
      </x:c>
      <x:c r="P171" s="50" t="str">
        <x:v>No aplica</x:v>
      </x:c>
      <x:c r="Q171" s="45" t="str">
        <x:v>No aplica</x:v>
      </x:c>
      <x:c r="R171" s="45" t="str"/>
      <x:c r="S171" s="45" t="str">
        <x:v>Mantener seguimiento preventivo institucional</x:v>
      </x:c>
      <x:c r="T171" s="45" t="str">
        <x:v>Baterías / autonomía</x:v>
      </x:c>
      <x:c r="U171" s="45" t="str">
        <x:v>S2, p. 8, ítem 167</x:v>
      </x:c>
      <x:c r="V171" s="45" t="str">
        <x:v>CAIMI-S2-167</x:v>
      </x:c>
    </x:row>
    <x:row r="172" ht="42" customHeight="1">
      <x:c r="A172" s="45" t="n">
        <x:v>168</x:v>
      </x:c>
      <x:c r="B172" s="45" t="str">
        <x:v>BASCULA DIGITAL</x:v>
      </x:c>
      <x:c r="C172" s="45" t="str">
        <x:v>BADECOL</x:v>
      </x:c>
      <x:c r="D172" s="50" t="str">
        <x:v>EB7005</x:v>
      </x:c>
      <x:c r="E172" s="50" t="str">
        <x:v>25689-131</x:v>
      </x:c>
      <x:c r="F172" s="50" t="str">
        <x:v>8625</x:v>
      </x:c>
      <x:c r="G172" s="45" t="str">
        <x:v>TRIAGE</x:v>
      </x:c>
      <x:c r="H172" s="45" t="str">
        <x:v>EQUIPO OPERATIVO EN EL SERVICIO</x:v>
      </x:c>
      <x:c r="I172" s="45" t="n">
        <x:v>8</x:v>
      </x:c>
      <x:c r="J172" s="45" t="str">
        <x:v>Operativo explícito sin incidencia pendiente consignada</x:v>
      </x:c>
      <x:c r="K172" s="45" t="str">
        <x:v>Operativo explícito sin incidencia pendiente consignada</x:v>
      </x:c>
      <x:c r="L172" s="45" t="str">
        <x:v>TRIAGE</x:v>
      </x:c>
      <x:c r="M172" s="45" t="str">
        <x:v>base</x:v>
      </x:c>
      <x:c r="N172" s="45" t="str">
        <x:v>EQUIPO OPERATIVO EN EL SERVICIO</x:v>
      </x:c>
      <x:c r="O172" s="49" t="str">
        <x:v>No indicada</x:v>
      </x:c>
      <x:c r="P172" s="50" t="str">
        <x:v>No aplica</x:v>
      </x:c>
      <x:c r="Q172" s="45" t="str">
        <x:v>No aplica</x:v>
      </x:c>
      <x:c r="R172" s="45" t="str"/>
      <x:c r="S172" s="45" t="str">
        <x:v>Mantener seguimiento preventivo institucional</x:v>
      </x:c>
      <x:c r="T172" s="45" t="str"/>
      <x:c r="U172" s="45" t="str">
        <x:v>S2, p. 8, ítem 168</x:v>
      </x:c>
      <x:c r="V172" s="45" t="str">
        <x:v>CAIMI-S2-168</x:v>
      </x:c>
    </x:row>
    <x:row r="173" ht="42" customHeight="1">
      <x:c r="A173" s="45" t="n">
        <x:v>169</x:v>
      </x:c>
      <x:c r="B173" s="45" t="str">
        <x:v>INFANTOMETRO</x:v>
      </x:c>
      <x:c r="C173" s="45" t="str">
        <x:v>SECA</x:v>
      </x:c>
      <x:c r="D173" s="50" t="str">
        <x:v>N/R</x:v>
      </x:c>
      <x:c r="E173" s="50" t="str">
        <x:v>N/R</x:v>
      </x:c>
      <x:c r="F173" s="50" t="str">
        <x:v>5841</x:v>
      </x:c>
      <x:c r="G173" s="45" t="str">
        <x:v>SALA DE PARTOS 1</x:v>
      </x:c>
      <x:c r="H173" s="45" t="str">
        <x:v>EQUIPO OPERATIVO EN EL SERVICIO</x:v>
      </x:c>
      <x:c r="I173" s="45" t="n">
        <x:v>8</x:v>
      </x:c>
      <x:c r="J173" s="45" t="str">
        <x:v>Operativo explícito sin incidencia pendiente consignada</x:v>
      </x:c>
      <x:c r="K173" s="45" t="str">
        <x:v>Operativo explícito sin incidencia pendiente consignada</x:v>
      </x:c>
      <x:c r="L173" s="45" t="str">
        <x:v>SALA DE PARTOS 1</x:v>
      </x:c>
      <x:c r="M173" s="45" t="str">
        <x:v>base</x:v>
      </x:c>
      <x:c r="N173" s="45" t="str">
        <x:v>EQUIPO OPERATIVO EN EL SERVICIO</x:v>
      </x:c>
      <x:c r="O173" s="49" t="str">
        <x:v>No indicada</x:v>
      </x:c>
      <x:c r="P173" s="50" t="str">
        <x:v>No aplica</x:v>
      </x:c>
      <x:c r="Q173" s="45" t="str">
        <x:v>No aplica</x:v>
      </x:c>
      <x:c r="R173" s="45" t="str"/>
      <x:c r="S173" s="45" t="str">
        <x:v>Mantener seguimiento preventivo institucional</x:v>
      </x:c>
      <x:c r="T173" s="45" t="str"/>
      <x:c r="U173" s="45" t="str">
        <x:v>S2, p. 8, ítem 169</x:v>
      </x:c>
      <x:c r="V173" s="45" t="str">
        <x:v>CAIMI-S2-169</x:v>
      </x:c>
    </x:row>
    <x:row r="174" ht="68" customHeight="1">
      <x:c r="A174" s="45" t="n">
        <x:v>170</x:v>
      </x:c>
      <x:c r="B174" s="45" t="str">
        <x:v>PESA BEBÉ</x:v>
      </x:c>
      <x:c r="C174" s="45" t="str">
        <x:v>SECA</x:v>
      </x:c>
      <x:c r="D174" s="50" t="str">
        <x:v>N/R</x:v>
      </x:c>
      <x:c r="E174" s="50" t="str">
        <x:v>N/R</x:v>
      </x:c>
      <x:c r="F174" s="50" t="str">
        <x:v>4427</x:v>
      </x:c>
      <x:c r="G174" s="45" t="str">
        <x:v>N/R</x:v>
      </x:c>
      <x:c r="H174" s="45" t="str">
        <x:v>NO SE ENCONTRO EN EL SERVICIO</x:v>
      </x:c>
      <x:c r="I174" s="45" t="n">
        <x:v>8</x:v>
      </x:c>
      <x:c r="J174" s="45" t="str">
        <x:v>No ubicado en la visita inicial</x:v>
      </x:c>
      <x:c r="K174" s="45" t="str">
        <x:v>Fuera de servicio explícito</x:v>
      </x:c>
      <x:c r="L174" s="45" t="str">
        <x:v>Sala de partos</x:v>
      </x:c>
      <x:c r="M174" s="45" t="str">
        <x:v>placa</x:v>
      </x:c>
      <x:c r="N174" s="45" t="str">
        <x:v>Fuera de servicio; daño en celda de pesaje, ajuste/calibración intentados sin éxito; recomienda baja</x:v>
      </x:c>
      <x:c r="O174" s="49" t="d">
        <x:v>2026-08-03T00:00:00.000Z</x:v>
      </x:c>
      <x:c r="P174" s="50" t="str">
        <x:v>40998</x:v>
      </x:c>
      <x:c r="Q174" s="45" t="n">
        <x:v>8</x:v>
      </x:c>
      <x:c r="R174" s="45" t="str">
        <x:v>Intento de calibración no acredita calibración favorable ni baja ejecutada.</x:v>
      </x:c>
      <x:c r="S174" s="45" t="str">
        <x:v>Evaluación institucional de recomendación de baja</x:v>
      </x:c>
      <x:c r="T174" s="45" t="str">
        <x:v>Intervención o verificación técnica; Baja recomendada, no ejecutada</x:v>
      </x:c>
      <x:c r="U174" s="45" t="str">
        <x:v>S1, p. 8, reporte 40998</x:v>
      </x:c>
      <x:c r="V174" s="45" t="str">
        <x:v>CAIMI-S2-170</x:v>
      </x:c>
    </x:row>
    <x:row r="175" ht="42" customHeight="1">
      <x:c r="A175" s="45" t="n">
        <x:v>171</x:v>
      </x:c>
      <x:c r="B175" s="45" t="str">
        <x:v>SUCCIONADOR</x:v>
      </x:c>
      <x:c r="C175" s="45" t="str">
        <x:v>CA-MI</x:v>
      </x:c>
      <x:c r="D175" s="50" t="str">
        <x:v>NEW ASKIR 30</x:v>
      </x:c>
      <x:c r="E175" s="50" t="str">
        <x:v>64582</x:v>
      </x:c>
      <x:c r="F175" s="50" t="str">
        <x:v>6218</x:v>
      </x:c>
      <x:c r="G175" s="45" t="str">
        <x:v>SALA DE PARTOS 1</x:v>
      </x:c>
      <x:c r="H175" s="45" t="str">
        <x:v>EQUIPO FUNCIONA CORRECTAMENTE</x:v>
      </x:c>
      <x:c r="I175" s="45" t="n">
        <x:v>8</x:v>
      </x:c>
      <x:c r="J175" s="45" t="str">
        <x:v>Operativo explícito sin incidencia pendiente consignada</x:v>
      </x:c>
      <x:c r="K175" s="45" t="str">
        <x:v>Operativo explícito sin incidencia pendiente consignada</x:v>
      </x:c>
      <x:c r="L175" s="45" t="str">
        <x:v>SALA DE PARTOS 1</x:v>
      </x:c>
      <x:c r="M175" s="45" t="str">
        <x:v>base</x:v>
      </x:c>
      <x:c r="N175" s="45" t="str">
        <x:v>EQUIPO FUNCIONA CORRECTAMENTE</x:v>
      </x:c>
      <x:c r="O175" s="49" t="str">
        <x:v>No indicada</x:v>
      </x:c>
      <x:c r="P175" s="50" t="str">
        <x:v>No aplica</x:v>
      </x:c>
      <x:c r="Q175" s="45" t="str">
        <x:v>No aplica</x:v>
      </x:c>
      <x:c r="R175" s="45" t="str"/>
      <x:c r="S175" s="45" t="str">
        <x:v>Mantener seguimiento preventivo institucional</x:v>
      </x:c>
      <x:c r="T175" s="45" t="str"/>
      <x:c r="U175" s="45" t="str">
        <x:v>S2, p. 8, ítem 171</x:v>
      </x:c>
      <x:c r="V175" s="45" t="str">
        <x:v>CAIMI-S2-171</x:v>
      </x:c>
    </x:row>
    <x:row r="176" ht="68" customHeight="1">
      <x:c r="A176" s="45" t="n">
        <x:v>172</x:v>
      </x:c>
      <x:c r="B176" s="45" t="str">
        <x:v>DOPPLER FETAL</x:v>
      </x:c>
      <x:c r="C176" s="45" t="str">
        <x:v>EDAN</x:v>
      </x:c>
      <x:c r="D176" s="50" t="str">
        <x:v>SONOTRAX II PRO</x:v>
      </x:c>
      <x:c r="E176" s="50" t="str">
        <x:v>560054- M19200960062</x:v>
      </x:c>
      <x:c r="F176" s="50" t="str">
        <x:v>6222</x:v>
      </x:c>
      <x:c r="G176" s="45" t="str">
        <x:v>SALA PARTOS ALMACÉN MEDICAMENTOS</x:v>
      </x:c>
      <x:c r="H176" s="45" t="str">
        <x:v>NO SE ENCONTRO EN EL SERVICIO</x:v>
      </x:c>
      <x:c r="I176" s="45" t="n">
        <x:v>8</x:v>
      </x:c>
      <x:c r="J176" s="45" t="str">
        <x:v>No ubicado en la visita inicial</x:v>
      </x:c>
      <x:c r="K176" s="45" t="str">
        <x:v>Operativo explícito sin incidencia pendiente consignada</x:v>
      </x:c>
      <x:c r="L176" s="45" t="str">
        <x:v>Sala de partos / almacén</x:v>
      </x:c>
      <x:c r="M176" s="45" t="str">
        <x:v>placa</x:v>
      </x:c>
      <x:c r="N176" s="45" t="str">
        <x:v>Equipo funciona correctamente</x:v>
      </x:c>
      <x:c r="O176" s="49" t="d">
        <x:v>2026-07-14T00:00:00.000Z</x:v>
      </x:c>
      <x:c r="P176" s="50" t="str">
        <x:v>42229</x:v>
      </x:c>
      <x:c r="Q176" s="45" t="n">
        <x:v>9</x:v>
      </x:c>
      <x:c r="R176" s="45" t="str">
        <x:v>Serie del reporte abreviada; conservar representación original completa.</x:v>
      </x:c>
      <x:c r="S176" s="45" t="str">
        <x:v>Actualizar ubicación y trazabilidad</x:v>
      </x:c>
      <x:c r="T176" s="45" t="str"/>
      <x:c r="U176" s="45" t="str">
        <x:v>S1, p. 9, reporte 42229</x:v>
      </x:c>
      <x:c r="V176" s="45" t="str">
        <x:v>CAIMI-S2-172</x:v>
      </x:c>
    </x:row>
    <x:row r="177" ht="54" customHeight="1">
      <x:c r="A177" s="45" t="n">
        <x:v>173</x:v>
      </x:c>
      <x:c r="B177" s="45" t="str">
        <x:v>LARINGOSCOPIO</x:v>
      </x:c>
      <x:c r="C177" s="45" t="str">
        <x:v>WELCH ALLYN</x:v>
      </x:c>
      <x:c r="D177" s="50" t="str">
        <x:v>60814</x:v>
      </x:c>
      <x:c r="E177" s="50" t="str"/>
      <x:c r="F177" s="50" t="str">
        <x:v>11/02/3602</x:v>
      </x:c>
      <x:c r="G177" s="45" t="str">
        <x:v>SALA PARTOS ALMACÉN DE MEDICAMENTOS</x:v>
      </x:c>
      <x:c r="H177" s="45" t="str">
        <x:v>EQUIPO OPERATIVO EN EL SERVICIO</x:v>
      </x:c>
      <x:c r="I177" s="45" t="n">
        <x:v>8</x:v>
      </x:c>
      <x:c r="J177" s="45" t="str">
        <x:v>Operativo explícito sin incidencia pendiente consignada</x:v>
      </x:c>
      <x:c r="K177" s="45" t="str">
        <x:v>Operativo explícito sin incidencia pendiente consignada</x:v>
      </x:c>
      <x:c r="L177" s="45" t="str">
        <x:v>SALA PARTOS ALMACÉN DE MEDICAMENTOS</x:v>
      </x:c>
      <x:c r="M177" s="45" t="str">
        <x:v>base</x:v>
      </x:c>
      <x:c r="N177" s="45" t="str">
        <x:v>EQUIPO OPERATIVO EN EL SERVICIO</x:v>
      </x:c>
      <x:c r="O177" s="49" t="str">
        <x:v>No indicada</x:v>
      </x:c>
      <x:c r="P177" s="50" t="str">
        <x:v>No aplica</x:v>
      </x:c>
      <x:c r="Q177" s="45" t="str">
        <x:v>No aplica</x:v>
      </x:c>
      <x:c r="R177" s="45" t="str">
        <x:v>La columna inventario contiene 11/02/3602; se conserva literalmente y no se interpreta como fecha.</x:v>
      </x:c>
      <x:c r="S177" s="45" t="str">
        <x:v>Mantener seguimiento preventivo institucional</x:v>
      </x:c>
      <x:c r="T177" s="45" t="str"/>
      <x:c r="U177" s="45" t="str">
        <x:v>S2, p. 8, ítem 173</x:v>
      </x:c>
      <x:c r="V177" s="45" t="str">
        <x:v>CAIMI-S2-173</x:v>
      </x:c>
    </x:row>
    <x:row r="178" ht="42" customHeight="1">
      <x:c r="A178" s="45" t="n">
        <x:v>174</x:v>
      </x:c>
      <x:c r="B178" s="45" t="str">
        <x:v>LARINGOSCOPIO</x:v>
      </x:c>
      <x:c r="C178" s="45" t="str">
        <x:v>WELCH ALLYN</x:v>
      </x:c>
      <x:c r="D178" s="50" t="str">
        <x:v>60813</x:v>
      </x:c>
      <x:c r="E178" s="50" t="str">
        <x:v>732094000000</x:v>
      </x:c>
      <x:c r="F178" s="50" t="str"/>
      <x:c r="G178" s="45" t="str">
        <x:v>SALA PARTOS ALMACÉN DE MEDICAMENTOS</x:v>
      </x:c>
      <x:c r="H178" s="45" t="str">
        <x:v>EQUIPO OPERATIVO EN EL SERVICIO</x:v>
      </x:c>
      <x:c r="I178" s="45" t="n">
        <x:v>8</x:v>
      </x:c>
      <x:c r="J178" s="45" t="str">
        <x:v>Operativo explícito sin incidencia pendiente consignada</x:v>
      </x:c>
      <x:c r="K178" s="45" t="str">
        <x:v>Operativo explícito sin incidencia pendiente consignada</x:v>
      </x:c>
      <x:c r="L178" s="45" t="str">
        <x:v>SALA PARTOS ALMACÉN DE MEDICAMENTOS</x:v>
      </x:c>
      <x:c r="M178" s="45" t="str">
        <x:v>base</x:v>
      </x:c>
      <x:c r="N178" s="45" t="str">
        <x:v>EQUIPO OPERATIVO EN EL SERVICIO</x:v>
      </x:c>
      <x:c r="O178" s="49" t="str">
        <x:v>No indicada</x:v>
      </x:c>
      <x:c r="P178" s="50" t="str">
        <x:v>No aplica</x:v>
      </x:c>
      <x:c r="Q178" s="45" t="str">
        <x:v>No aplica</x:v>
      </x:c>
      <x:c r="R178" s="45" t="str">
        <x:v>Columna inventario vacía; serie 732094000000 informada. No inventar placa.</x:v>
      </x:c>
      <x:c r="S178" s="45" t="str">
        <x:v>Mantener seguimiento preventivo institucional</x:v>
      </x:c>
      <x:c r="T178" s="45" t="str"/>
      <x:c r="U178" s="45" t="str">
        <x:v>S2, p. 8, ítem 174</x:v>
      </x:c>
      <x:c r="V178" s="45" t="str">
        <x:v>CAIMI-S2-174</x:v>
      </x:c>
    </x:row>
    <x:row r="179" ht="68" customHeight="1">
      <x:c r="A179" s="45" t="n">
        <x:v>175</x:v>
      </x:c>
      <x:c r="B179" s="45" t="str">
        <x:v>LAMPARA CUELLO CISNE</x:v>
      </x:c>
      <x:c r="C179" s="45" t="str">
        <x:v>WELCH ALLYN</x:v>
      </x:c>
      <x:c r="D179" s="50" t="str">
        <x:v>GS -300</x:v>
      </x:c>
      <x:c r="E179" s="50" t="str">
        <x:v>N/A</x:v>
      </x:c>
      <x:c r="F179" s="50" t="str">
        <x:v>3225</x:v>
      </x:c>
      <x:c r="G179" s="45" t="str">
        <x:v>SALA DE PARTOS ALMACÉN DE MEDICAMENTOS</x:v>
      </x:c>
      <x:c r="H179" s="45" t="str">
        <x:v>NO SE ENCONTRO EN EL SERVICIO</x:v>
      </x:c>
      <x:c r="I179" s="45" t="n">
        <x:v>8</x:v>
      </x:c>
      <x:c r="J179" s="45" t="str">
        <x:v>No ubicado en la visita inicial</x:v>
      </x:c>
      <x:c r="K179" s="45" t="str">
        <x:v>Operativo explícito sin incidencia pendiente consignada</x:v>
      </x:c>
      <x:c r="L179" s="45" t="str">
        <x:v>Sala de partos / almacén</x:v>
      </x:c>
      <x:c r="M179" s="45" t="str">
        <x:v>placa</x:v>
      </x:c>
      <x:c r="N179" s="45" t="str">
        <x:v>Equipo operativo en el servicio</x:v>
      </x:c>
      <x:c r="O179" s="49" t="d">
        <x:v>2026-07-14T00:00:00.000Z</x:v>
      </x:c>
      <x:c r="P179" s="50" t="str">
        <x:v>42232</x:v>
      </x:c>
      <x:c r="Q179" s="45" t="n">
        <x:v>10</x:v>
      </x:c>
      <x:c r="R179" s="45" t="str">
        <x:v>Denominado lámpara de examen en reporte; coincide placa, marca y modelo.</x:v>
      </x:c>
      <x:c r="S179" s="45" t="str">
        <x:v>Actualizar ubicación y trazabilidad</x:v>
      </x:c>
      <x:c r="T179" s="45" t="str"/>
      <x:c r="U179" s="45" t="str">
        <x:v>S1, p. 10, reporte 42232</x:v>
      </x:c>
      <x:c r="V179" s="45" t="str">
        <x:v>CAIMI-S2-175</x:v>
      </x:c>
    </x:row>
    <x:row r="180" ht="68" customHeight="1">
      <x:c r="A180" s="45" t="n">
        <x:v>176</x:v>
      </x:c>
      <x:c r="B180" s="45" t="str">
        <x:v>LAMPARA CUELLO CISNE</x:v>
      </x:c>
      <x:c r="C180" s="45" t="str">
        <x:v>WELCH ALLYN</x:v>
      </x:c>
      <x:c r="D180" s="50" t="str">
        <x:v>GS -300</x:v>
      </x:c>
      <x:c r="E180" s="50" t="str">
        <x:v>N/R</x:v>
      </x:c>
      <x:c r="F180" s="50" t="str">
        <x:v>3223</x:v>
      </x:c>
      <x:c r="G180" s="45" t="str">
        <x:v>SALA DE PARTOS ALMACÉN DE MEDICAMENTOS</x:v>
      </x:c>
      <x:c r="H180" s="45" t="str">
        <x:v>NO SE ENCONTRO EN EL SERVICIO</x:v>
      </x:c>
      <x:c r="I180" s="45" t="n">
        <x:v>8</x:v>
      </x:c>
      <x:c r="J180" s="45" t="str">
        <x:v>No ubicado en la visita inicial</x:v>
      </x:c>
      <x:c r="K180" s="45" t="str">
        <x:v>Operativo explícito sin incidencia pendiente consignada</x:v>
      </x:c>
      <x:c r="L180" s="45" t="str">
        <x:v>Sala de partos / almacén</x:v>
      </x:c>
      <x:c r="M180" s="45" t="str">
        <x:v>placa</x:v>
      </x:c>
      <x:c r="N180" s="45" t="str">
        <x:v>Equipo operativo en el servicio</x:v>
      </x:c>
      <x:c r="O180" s="49" t="d">
        <x:v>2026-07-14T00:00:00.000Z</x:v>
      </x:c>
      <x:c r="P180" s="50" t="str">
        <x:v>42233</x:v>
      </x:c>
      <x:c r="Q180" s="45" t="n">
        <x:v>11</x:v>
      </x:c>
      <x:c r="R180" s="45" t="str">
        <x:v>Denominado lámpara de examen en reporte; coincide placa, marca y modelo.</x:v>
      </x:c>
      <x:c r="S180" s="45" t="str">
        <x:v>Actualizar ubicación y trazabilidad</x:v>
      </x:c>
      <x:c r="T180" s="45" t="str"/>
      <x:c r="U180" s="45" t="str">
        <x:v>S1, p. 11, reporte 42233</x:v>
      </x:c>
      <x:c r="V180" s="45" t="str">
        <x:v>CAIMI-S2-176</x:v>
      </x:c>
    </x:row>
    <x:row r="181" ht="42" customHeight="1">
      <x:c r="A181" s="45" t="n">
        <x:v>177</x:v>
      </x:c>
      <x:c r="B181" s="45" t="str">
        <x:v>BASCULA DE PISO</x:v>
      </x:c>
      <x:c r="C181" s="45" t="str">
        <x:v>BADECOL</x:v>
      </x:c>
      <x:c r="D181" s="50" t="str"/>
      <x:c r="E181" s="50" t="str">
        <x:v>25689-334</x:v>
      </x:c>
      <x:c r="F181" s="50" t="str">
        <x:v>8631</x:v>
      </x:c>
      <x:c r="G181" s="45" t="str">
        <x:v>SALA DE PARTOS ALMACÉN DE MEDICAMENTOS</x:v>
      </x:c>
      <x:c r="H181" s="45" t="str">
        <x:v>NO SE ENCONTRO EN EL SERVICIO</x:v>
      </x:c>
      <x:c r="I181" s="45" t="n">
        <x:v>8</x:v>
      </x:c>
      <x:c r="J181" s="45" t="str">
        <x:v>No ubicado en la visita inicial</x:v>
      </x:c>
      <x:c r="K181" s="45" t="str">
        <x:v>Sin reporte individual en certificación</x:v>
      </x:c>
      <x:c r="L181" s="45" t="str">
        <x:v>SALA DE PARTOS ALMACÉN DE MEDICAMENTOS</x:v>
      </x:c>
      <x:c r="M181" s="45" t="str">
        <x:v>sin_reporte</x:v>
      </x:c>
      <x:c r="N181" s="45" t="str">
        <x:v>NO SE ENCONTRO EN EL SERVICIO</x:v>
      </x:c>
      <x:c r="O181" s="49" t="str">
        <x:v>No indicada</x:v>
      </x:c>
      <x:c r="P181" s="50" t="str">
        <x:v>No aplica</x:v>
      </x:c>
      <x:c r="Q181" s="45" t="str">
        <x:v>No aplica</x:v>
      </x:c>
      <x:c r="R181" s="45" t="str"/>
      <x:c r="S181" s="45" t="str">
        <x:v>Obtener reporte o verificación individual de placa 8631 / serie 25689-334</x:v>
      </x:c>
      <x:c r="T181" s="45" t="str">
        <x:v>Individualización o identidad por conciliar</x:v>
      </x:c>
      <x:c r="U181" s="45" t="str">
        <x:v>S2, p. 8, ítem 177</x:v>
      </x:c>
      <x:c r="V181" s="45" t="str">
        <x:v>CAIMI-S2-177</x:v>
      </x:c>
    </x:row>
    <x:row r="182" ht="42" customHeight="1">
      <x:c r="A182" s="45" t="n">
        <x:v>178</x:v>
      </x:c>
      <x:c r="B182" s="45" t="str">
        <x:v>PULSOXIMETRO</x:v>
      </x:c>
      <x:c r="C182" s="45" t="str">
        <x:v>EDAN</x:v>
      </x:c>
      <x:c r="D182" s="50" t="str">
        <x:v>H100B</x:v>
      </x:c>
      <x:c r="E182" s="50" t="str">
        <x:v>360101- M18C14840017</x:v>
      </x:c>
      <x:c r="F182" s="50" t="str">
        <x:v>6254</x:v>
      </x:c>
      <x:c r="G182" s="45" t="str">
        <x:v>SALA DE PARTOS ALMACÉN DE MEDICAMENTOS</x:v>
      </x:c>
      <x:c r="H182" s="45" t="str">
        <x:v>EQUIPO OPERATIVO EN EL SERVICIO</x:v>
      </x:c>
      <x:c r="I182" s="45" t="n">
        <x:v>8</x:v>
      </x:c>
      <x:c r="J182" s="45" t="str">
        <x:v>Operativo explícito sin incidencia pendiente consignada</x:v>
      </x:c>
      <x:c r="K182" s="45" t="str">
        <x:v>Operativo explícito sin incidencia pendiente consignada</x:v>
      </x:c>
      <x:c r="L182" s="45" t="str">
        <x:v>SALA DE PARTOS ALMACÉN DE MEDICAMENTOS</x:v>
      </x:c>
      <x:c r="M182" s="45" t="str">
        <x:v>base</x:v>
      </x:c>
      <x:c r="N182" s="45" t="str">
        <x:v>EQUIPO OPERATIVO EN EL SERVICIO</x:v>
      </x:c>
      <x:c r="O182" s="49" t="str">
        <x:v>No indicada</x:v>
      </x:c>
      <x:c r="P182" s="50" t="str">
        <x:v>No aplica</x:v>
      </x:c>
      <x:c r="Q182" s="45" t="str">
        <x:v>No aplica</x:v>
      </x:c>
      <x:c r="R182" s="45" t="str"/>
      <x:c r="S182" s="45" t="str">
        <x:v>Mantener seguimiento preventivo institucional</x:v>
      </x:c>
      <x:c r="T182" s="45" t="str"/>
      <x:c r="U182" s="45" t="str">
        <x:v>S2, p. 8, ítem 178</x:v>
      </x:c>
      <x:c r="V182" s="45" t="str">
        <x:v>CAIMI-S2-178</x:v>
      </x:c>
    </x:row>
    <x:row r="183" ht="68" customHeight="1">
      <x:c r="A183" s="45" t="n">
        <x:v>179</x:v>
      </x:c>
      <x:c r="B183" s="45" t="str">
        <x:v>TENSIOMETRO PEDIATRICO</x:v>
      </x:c>
      <x:c r="C183" s="45" t="str">
        <x:v>WELCH ALLYN</x:v>
      </x:c>
      <x:c r="D183" s="50" t="str">
        <x:v>SCHOCK RESISTANT</x:v>
      </x:c>
      <x:c r="E183" s="50" t="str">
        <x:v>180309105049</x:v>
      </x:c>
      <x:c r="F183" s="50" t="str">
        <x:v>N/R</x:v>
      </x:c>
      <x:c r="G183" s="45" t="str">
        <x:v>SALA PARTOS ALMACÉN MEDICAMENTOS</x:v>
      </x:c>
      <x:c r="H183" s="45" t="str">
        <x:v>NO SE UBICO EN EL SERVICIO</x:v>
      </x:c>
      <x:c r="I183" s="45" t="n">
        <x:v>8</x:v>
      </x:c>
      <x:c r="J183" s="45" t="str">
        <x:v>No ubicado en la visita inicial</x:v>
      </x:c>
      <x:c r="K183" s="45" t="str">
        <x:v>Operativo explícito sin incidencia pendiente consignada</x:v>
      </x:c>
      <x:c r="L183" s="45" t="str">
        <x:v>Sala de partos / almacén</x:v>
      </x:c>
      <x:c r="M183" s="45" t="str">
        <x:v>serie</x:v>
      </x:c>
      <x:c r="N183" s="45" t="str">
        <x:v>Equipo operativo en el servicio</x:v>
      </x:c>
      <x:c r="O183" s="49" t="d">
        <x:v>2026-07-14T00:00:00.000Z</x:v>
      </x:c>
      <x:c r="P183" s="50" t="str">
        <x:v>42236</x:v>
      </x:c>
      <x:c r="Q183" s="45" t="n">
        <x:v>12</x:v>
      </x:c>
      <x:c r="R183" s="45" t="str">
        <x:v>Sin placa informada; vinculación por serie exacta y atributos compatibles.</x:v>
      </x:c>
      <x:c r="S183" s="45" t="str">
        <x:v>Actualizar ubicación y trazabilidad</x:v>
      </x:c>
      <x:c r="T183" s="45" t="str"/>
      <x:c r="U183" s="45" t="str">
        <x:v>S1, p. 12, reporte 42236</x:v>
      </x:c>
      <x:c r="V183" s="45" t="str">
        <x:v>CAIMI-S2-179</x:v>
      </x:c>
    </x:row>
    <x:row r="184" ht="68" customHeight="1">
      <x:c r="A184" s="45" t="n">
        <x:v>180</x:v>
      </x:c>
      <x:c r="B184" s="45" t="str">
        <x:v>FOTOFORO LUZ FRIA</x:v>
      </x:c>
      <x:c r="C184" s="45" t="str">
        <x:v>WELCH ALLYN</x:v>
      </x:c>
      <x:c r="D184" s="50" t="str">
        <x:v>46000R</x:v>
      </x:c>
      <x:c r="E184" s="50" t="str">
        <x:v>18030188</x:v>
      </x:c>
      <x:c r="F184" s="50" t="str">
        <x:v>OVS 5148</x:v>
      </x:c>
      <x:c r="G184" s="45" t="str">
        <x:v>SALA DE PARTOS ALMACÉN DE MEDICAMENTOS</x:v>
      </x:c>
      <x:c r="H184" s="45" t="str">
        <x:v>NO SE ENCONTRO EN EL SERVICIO</x:v>
      </x:c>
      <x:c r="I184" s="45" t="n">
        <x:v>8</x:v>
      </x:c>
      <x:c r="J184" s="45" t="str">
        <x:v>No ubicado en la visita inicial</x:v>
      </x:c>
      <x:c r="K184" s="45" t="str">
        <x:v>Operativo explícito sin incidencia pendiente consignada</x:v>
      </x:c>
      <x:c r="L184" s="45" t="str">
        <x:v>Sala de partos / almacén</x:v>
      </x:c>
      <x:c r="M184" s="45" t="str">
        <x:v>serie</x:v>
      </x:c>
      <x:c r="N184" s="45" t="str">
        <x:v>Equipo operativo en el servicio</x:v>
      </x:c>
      <x:c r="O184" s="49" t="d">
        <x:v>2026-07-14T00:00:00.000Z</x:v>
      </x:c>
      <x:c r="P184" s="50" t="str">
        <x:v>42237</x:v>
      </x:c>
      <x:c r="Q184" s="45" t="n">
        <x:v>13</x:v>
      </x:c>
      <x:c r="R184" s="45" t="str">
        <x:v>Código OVS 5148 y modelo manuscritos requieren transcripción cuidadosa; serie exacta.</x:v>
      </x:c>
      <x:c r="S184" s="45" t="str">
        <x:v>Actualizar ubicación y validar transcripción de código/modelo</x:v>
      </x:c>
      <x:c r="T184" s="45" t="str"/>
      <x:c r="U184" s="45" t="str">
        <x:v>S1, p. 13, reporte 42237</x:v>
      </x:c>
      <x:c r="V184" s="45" t="str">
        <x:v>CAIMI-S2-180</x:v>
      </x:c>
    </x:row>
    <x:row r="185" ht="54" customHeight="1">
      <x:c r="A185" s="45" t="n">
        <x:v>181</x:v>
      </x:c>
      <x:c r="B185" s="45" t="str">
        <x:v>FONENDOSCOPIO</x:v>
      </x:c>
      <x:c r="C185" s="45" t="str">
        <x:v>RIESTER</x:v>
      </x:c>
      <x:c r="D185" s="50" t="str">
        <x:v>DUPLEX</x:v>
      </x:c>
      <x:c r="E185" s="50" t="str">
        <x:v>N/R</x:v>
      </x:c>
      <x:c r="F185" s="50" t="str">
        <x:v>N/R</x:v>
      </x:c>
      <x:c r="G185" s="45" t="str">
        <x:v>SALA PARTOS ALMACÉN MEDICAMENTOS</x:v>
      </x:c>
      <x:c r="H185" s="45" t="str">
        <x:v>NO SE ENCONTRO EN EL SERVICIO</x:v>
      </x:c>
      <x:c r="I185" s="45" t="n">
        <x:v>8</x:v>
      </x:c>
      <x:c r="J185" s="45" t="str">
        <x:v>No ubicado en la visita inicial</x:v>
      </x:c>
      <x:c r="K185" s="45" t="str">
        <x:v>Asociación descriptiva por corroborar</x:v>
      </x:c>
      <x:c r="L185" s="45" t="str">
        <x:v>Sala de partos / almacén</x:v>
      </x:c>
      <x:c r="M185" s="45" t="str">
        <x:v>descripcion</x:v>
      </x:c>
      <x:c r="N185" s="45" t="str">
        <x:v>NO SE ENCONTRO EN EL SERVICIO</x:v>
      </x:c>
      <x:c r="O185" s="49" t="str">
        <x:v>No indicada</x:v>
      </x:c>
      <x:c r="P185" s="50" t="str">
        <x:v>42238</x:v>
      </x:c>
      <x:c r="Q185" s="45" t="n">
        <x:v>14</x:v>
      </x:c>
      <x:c r="R185" s="45" t="str">
        <x:v>Sin placa ni serie en ambas fuentes; asociación por tipo, marca, modelo y ubicación, no identidad física inequívoca.</x:v>
      </x:c>
      <x:c r="S185" s="45" t="str">
        <x:v>Corroborar individualización y asignar identificador institucional si corresponde</x:v>
      </x:c>
      <x:c r="T185" s="45" t="str">
        <x:v>Individualización o identidad por conciliar</x:v>
      </x:c>
      <x:c r="U185" s="45" t="str">
        <x:v>S2, p. 8, ítem 181; reporte asociado S1, p. 14</x:v>
      </x:c>
      <x:c r="V185" s="45" t="str">
        <x:v>CAIMI-S2-181</x:v>
      </x:c>
    </x:row>
    <x:row r="186" ht="42" customHeight="1">
      <x:c r="A186" s="45" t="n">
        <x:v>182</x:v>
      </x:c>
      <x:c r="B186" s="45" t="str">
        <x:v>LAPIZ HALOGENO</x:v>
      </x:c>
      <x:c r="C186" s="45" t="str">
        <x:v>WELCH ALLYN</x:v>
      </x:c>
      <x:c r="D186" s="50" t="str">
        <x:v>76600</x:v>
      </x:c>
      <x:c r="E186" s="50" t="str">
        <x:v>N/R</x:v>
      </x:c>
      <x:c r="F186" s="50" t="str">
        <x:v>N/R</x:v>
      </x:c>
      <x:c r="G186" s="45" t="str">
        <x:v>SALA PARTOS ALMACÉN DE MEDICAMENTOS</x:v>
      </x:c>
      <x:c r="H186" s="45" t="str">
        <x:v>NO SE ENCONTRO EN EL SERVICIO</x:v>
      </x:c>
      <x:c r="I186" s="45" t="n">
        <x:v>8</x:v>
      </x:c>
      <x:c r="J186" s="45" t="str">
        <x:v>No ubicado en la visita inicial</x:v>
      </x:c>
      <x:c r="K186" s="45" t="str">
        <x:v>Asociación descriptiva por corroborar</x:v>
      </x:c>
      <x:c r="L186" s="45" t="str">
        <x:v>Sala de partos / almacén</x:v>
      </x:c>
      <x:c r="M186" s="45" t="str">
        <x:v>descripcion</x:v>
      </x:c>
      <x:c r="N186" s="45" t="str">
        <x:v>NO SE ENCONTRO EN EL SERVICIO</x:v>
      </x:c>
      <x:c r="O186" s="49" t="str">
        <x:v>No indicada</x:v>
      </x:c>
      <x:c r="P186" s="50" t="str">
        <x:v>42239</x:v>
      </x:c>
      <x:c r="Q186" s="45" t="n">
        <x:v>15</x:v>
      </x:c>
      <x:c r="R186" s="45" t="str">
        <x:v>Sin placa ni serie en ambas fuentes; asociación descriptiva, no identidad física inequívoca.</x:v>
      </x:c>
      <x:c r="S186" s="45" t="str">
        <x:v>Corroborar individualización y gestionar baterías</x:v>
      </x:c>
      <x:c r="T186" s="45" t="str">
        <x:v>Individualización o identidad por conciliar</x:v>
      </x:c>
      <x:c r="U186" s="45" t="str">
        <x:v>S2, p. 8, ítem 182; reporte asociado S1, p. 15</x:v>
      </x:c>
      <x:c r="V186" s="45" t="str">
        <x:v>CAIMI-S2-182</x:v>
      </x:c>
    </x:row>
    <x:row r="187" ht="68" customHeight="1">
      <x:c r="A187" s="45" t="n">
        <x:v>183</x:v>
      </x:c>
      <x:c r="B187" s="45" t="str">
        <x:v>PESA GRAMERA</x:v>
      </x:c>
      <x:c r="C187" s="45" t="str">
        <x:v>SECA</x:v>
      </x:c>
      <x:c r="D187" s="50" t="str">
        <x:v>22089</x:v>
      </x:c>
      <x:c r="E187" s="50" t="str">
        <x:v>8852220000000</x:v>
      </x:c>
      <x:c r="F187" s="50" t="str">
        <x:v>5513</x:v>
      </x:c>
      <x:c r="G187" s="45" t="str">
        <x:v>SALA DE PARTOS ALMACÉN DE MEDICAMENTOS</x:v>
      </x:c>
      <x:c r="H187" s="45" t="str">
        <x:v>NO SE ENCONTRO EN EL SERVICIO</x:v>
      </x:c>
      <x:c r="I187" s="45" t="n">
        <x:v>9</x:v>
      </x:c>
      <x:c r="J187" s="45" t="str">
        <x:v>No ubicado en la visita inicial</x:v>
      </x:c>
      <x:c r="K187" s="45" t="str">
        <x:v>Operativo explícito sin incidencia pendiente consignada</x:v>
      </x:c>
      <x:c r="L187" s="45" t="str">
        <x:v>Sala de partos / almacén</x:v>
      </x:c>
      <x:c r="M187" s="45" t="str">
        <x:v>placa</x:v>
      </x:c>
      <x:c r="N187" s="45" t="str">
        <x:v>Equipo operativo en el servicio</x:v>
      </x:c>
      <x:c r="O187" s="49" t="d">
        <x:v>2026-07-14T00:00:00.000Z</x:v>
      </x:c>
      <x:c r="P187" s="50" t="str">
        <x:v>42240</x:v>
      </x:c>
      <x:c r="Q187" s="45" t="n">
        <x:v>16</x:v>
      </x:c>
      <x:c r="R187" s="45" t="str">
        <x:v>Reporte no informa serie; enlace por placa y atributos.</x:v>
      </x:c>
      <x:c r="S187" s="45" t="str">
        <x:v>Actualizar ubicación y trazabilidad</x:v>
      </x:c>
      <x:c r="T187" s="45" t="str"/>
      <x:c r="U187" s="45" t="str">
        <x:v>S1, p. 16, reporte 42240</x:v>
      </x:c>
      <x:c r="V187" s="45" t="str">
        <x:v>CAIMI-S2-183</x:v>
      </x:c>
    </x:row>
    <x:row r="188" ht="42" customHeight="1">
      <x:c r="A188" s="45" t="n">
        <x:v>184</x:v>
      </x:c>
      <x:c r="B188" s="45" t="str">
        <x:v>SUCCIONADOR</x:v>
      </x:c>
      <x:c r="C188" s="45" t="str">
        <x:v>THOMAS</x:v>
      </x:c>
      <x:c r="D188" s="50" t="str">
        <x:v>1130067</x:v>
      </x:c>
      <x:c r="E188" s="50" t="str">
        <x:v>122</x:v>
      </x:c>
      <x:c r="F188" s="50" t="str">
        <x:v>3529</x:v>
      </x:c>
      <x:c r="G188" s="45" t="str">
        <x:v>SALA DE PARTOS ALMACÉN DE MEDICAMENTOS</x:v>
      </x:c>
      <x:c r="H188" s="45" t="str">
        <x:v>EQUIPO OPERATIVO EN EL SERVICIO</x:v>
      </x:c>
      <x:c r="I188" s="45" t="n">
        <x:v>9</x:v>
      </x:c>
      <x:c r="J188" s="45" t="str">
        <x:v>Operativo explícito sin incidencia pendiente consignada</x:v>
      </x:c>
      <x:c r="K188" s="45" t="str">
        <x:v>Operativo explícito sin incidencia pendiente consignada</x:v>
      </x:c>
      <x:c r="L188" s="45" t="str">
        <x:v>SALA DE PARTOS ALMACÉN DE MEDICAMENTOS</x:v>
      </x:c>
      <x:c r="M188" s="45" t="str">
        <x:v>base</x:v>
      </x:c>
      <x:c r="N188" s="45" t="str">
        <x:v>EQUIPO OPERATIVO EN EL SERVICIO</x:v>
      </x:c>
      <x:c r="O188" s="49" t="str">
        <x:v>No indicada</x:v>
      </x:c>
      <x:c r="P188" s="50" t="str">
        <x:v>No aplica</x:v>
      </x:c>
      <x:c r="Q188" s="45" t="str">
        <x:v>No aplica</x:v>
      </x:c>
      <x:c r="R188" s="45" t="str"/>
      <x:c r="S188" s="45" t="str">
        <x:v>Mantener seguimiento preventivo institucional</x:v>
      </x:c>
      <x:c r="T188" s="45" t="str"/>
      <x:c r="U188" s="45" t="str">
        <x:v>S2, p. 9, ítem 184</x:v>
      </x:c>
      <x:c r="V188" s="45" t="str">
        <x:v>CAIMI-S2-184</x:v>
      </x:c>
    </x:row>
    <x:row r="189" ht="42" customHeight="1">
      <x:c r="A189" s="45" t="n">
        <x:v>185</x:v>
      </x:c>
      <x:c r="B189" s="45" t="str">
        <x:v>MONITOR FETAL</x:v>
      </x:c>
      <x:c r="C189" s="45" t="str">
        <x:v>EDAN</x:v>
      </x:c>
      <x:c r="D189" s="50" t="str">
        <x:v>F9 EXPRESS</x:v>
      </x:c>
      <x:c r="E189" s="50" t="str">
        <x:v>560139- M14604420002</x:v>
      </x:c>
      <x:c r="F189" s="50" t="str">
        <x:v>3231</x:v>
      </x:c>
      <x:c r="G189" s="45" t="str">
        <x:v>SALA DE PARTOS ALMACÉN DE MEDICAMENTOS</x:v>
      </x:c>
      <x:c r="H189" s="45" t="str">
        <x:v>EQUIPO FUNCIONA CORRECTAMENTE CON ACCESORIOS, REQUIERE BATERIA DE RESPALDO</x:v>
      </x:c>
      <x:c r="I189" s="45" t="n">
        <x:v>9</x:v>
      </x:c>
      <x:c r="J189" s="45" t="str">
        <x:v>Operativo con observaciones</x:v>
      </x:c>
      <x:c r="K189" s="45" t="str">
        <x:v>Operativo con observaciones</x:v>
      </x:c>
      <x:c r="L189" s="45" t="str">
        <x:v>SALA DE PARTOS ALMACÉN DE MEDICAMENTOS</x:v>
      </x:c>
      <x:c r="M189" s="45" t="str">
        <x:v>base</x:v>
      </x:c>
      <x:c r="N189" s="45" t="str">
        <x:v>EQUIPO FUNCIONA CORRECTAMENTE CON ACCESORIOS, REQUIERE BATERIA DE RESPALDO</x:v>
      </x:c>
      <x:c r="O189" s="49" t="str">
        <x:v>No indicada</x:v>
      </x:c>
      <x:c r="P189" s="50" t="str">
        <x:v>No aplica</x:v>
      </x:c>
      <x:c r="Q189" s="45" t="str">
        <x:v>No aplica</x:v>
      </x:c>
      <x:c r="R189" s="45" t="str"/>
      <x:c r="S189" s="45" t="str">
        <x:v>Gestionar observaciones originales y documentar verificación técnica posterior</x:v>
      </x:c>
      <x:c r="T189" s="45" t="str">
        <x:v>Intervención o verificación técnica; Baterías / autonomía</x:v>
      </x:c>
      <x:c r="U189" s="45" t="str">
        <x:v>S2, p. 9, ítem 185</x:v>
      </x:c>
      <x:c r="V189" s="45" t="str">
        <x:v>CAIMI-S2-185</x:v>
      </x:c>
    </x:row>
    <x:row r="190" ht="42" customHeight="1">
      <x:c r="A190" s="45" t="n">
        <x:v>186</x:v>
      </x:c>
      <x:c r="B190" s="45" t="str">
        <x:v>CAMILLA</x:v>
      </x:c>
      <x:c r="C190" s="45" t="str">
        <x:v>MUBI</x:v>
      </x:c>
      <x:c r="D190" s="50" t="str"/>
      <x:c r="E190" s="50" t="str">
        <x:v>72633</x:v>
      </x:c>
      <x:c r="F190" s="50" t="str">
        <x:v>6719</x:v>
      </x:c>
      <x:c r="G190" s="45" t="str">
        <x:v>OPERATIVA</x:v>
      </x:c>
      <x:c r="H190" s="45" t="str">
        <x:v>SE REALIZA AJUSTE DE ACTIVADOR GAS SPRINT Y LUBRICACION GENERAL. FUNCIONA CON OBSERVACIONES</x:v>
      </x:c>
      <x:c r="I190" s="45" t="n">
        <x:v>9</x:v>
      </x:c>
      <x:c r="J190" s="45" t="str">
        <x:v>Operativo con observaciones</x:v>
      </x:c>
      <x:c r="K190" s="45" t="str">
        <x:v>Operativo con observaciones</x:v>
      </x:c>
      <x:c r="L190" s="45" t="str">
        <x:v>OPERATIVA</x:v>
      </x:c>
      <x:c r="M190" s="45" t="str">
        <x:v>base</x:v>
      </x:c>
      <x:c r="N190" s="45" t="str">
        <x:v>SE REALIZA AJUSTE DE ACTIVADOR GAS SPRINT Y LUBRICACION GENERAL. FUNCIONA CON OBSERVACIONES</x:v>
      </x:c>
      <x:c r="O190" s="49" t="str">
        <x:v>No indicada</x:v>
      </x:c>
      <x:c r="P190" s="50" t="str">
        <x:v>No aplica</x:v>
      </x:c>
      <x:c r="Q190" s="45" t="str">
        <x:v>No aplica</x:v>
      </x:c>
      <x:c r="R190" s="45" t="str"/>
      <x:c r="S190" s="45" t="str">
        <x:v>Gestionar observaciones originales y documentar verificación técnica posterior</x:v>
      </x:c>
      <x:c r="T190" s="45" t="str">
        <x:v>Intervención o verificación técnica</x:v>
      </x:c>
      <x:c r="U190" s="45" t="str">
        <x:v>S2, p. 9, ítem 186</x:v>
      </x:c>
      <x:c r="V190" s="45" t="str">
        <x:v>CAIMI-S2-186</x:v>
      </x:c>
    </x:row>
    <x:row r="191" ht="42" customHeight="1">
      <x:c r="A191" s="45" t="n">
        <x:v>187</x:v>
      </x:c>
      <x:c r="B191" s="45" t="str">
        <x:v>CENTRIFUGA</x:v>
      </x:c>
      <x:c r="C191" s="45" t="str">
        <x:v>UNICO</x:v>
      </x:c>
      <x:c r="D191" s="50" t="str">
        <x:v>C8724X</x:v>
      </x:c>
      <x:c r="E191" s="50" t="str">
        <x:v>DP1901183</x:v>
      </x:c>
      <x:c r="F191" s="50" t="str">
        <x:v>6256</x:v>
      </x:c>
      <x:c r="G191" s="45" t="str">
        <x:v>LABORATORIO</x:v>
      </x:c>
      <x:c r="H191" s="45" t="str">
        <x:v>EQUIPO OPERATIVO EN EL SERVICIO</x:v>
      </x:c>
      <x:c r="I191" s="45" t="n">
        <x:v>9</x:v>
      </x:c>
      <x:c r="J191" s="45" t="str">
        <x:v>Operativo explícito sin incidencia pendiente consignada</x:v>
      </x:c>
      <x:c r="K191" s="45" t="str">
        <x:v>Operativo explícito sin incidencia pendiente consignada</x:v>
      </x:c>
      <x:c r="L191" s="45" t="str">
        <x:v>LABORATORIO</x:v>
      </x:c>
      <x:c r="M191" s="45" t="str">
        <x:v>base</x:v>
      </x:c>
      <x:c r="N191" s="45" t="str">
        <x:v>EQUIPO OPERATIVO EN EL SERVICIO</x:v>
      </x:c>
      <x:c r="O191" s="49" t="str">
        <x:v>No indicada</x:v>
      </x:c>
      <x:c r="P191" s="50" t="str">
        <x:v>No aplica</x:v>
      </x:c>
      <x:c r="Q191" s="45" t="str">
        <x:v>No aplica</x:v>
      </x:c>
      <x:c r="R191" s="45" t="str"/>
      <x:c r="S191" s="45" t="str">
        <x:v>Mantener seguimiento preventivo institucional</x:v>
      </x:c>
      <x:c r="T191" s="45" t="str"/>
      <x:c r="U191" s="45" t="str">
        <x:v>S2, p. 9, ítem 187</x:v>
      </x:c>
      <x:c r="V191" s="45" t="str">
        <x:v>CAIMI-S2-187</x:v>
      </x:c>
    </x:row>
    <x:row r="192" ht="42" customHeight="1">
      <x:c r="A192" s="45" t="n">
        <x:v>188</x:v>
      </x:c>
      <x:c r="B192" s="45" t="str">
        <x:v>ECOGRAFO</x:v>
      </x:c>
      <x:c r="C192" s="45" t="str">
        <x:v>GENERAL ELECTRIC</x:v>
      </x:c>
      <x:c r="D192" s="50" t="str">
        <x:v>LOQIC F8 EXPRESS</x:v>
      </x:c>
      <x:c r="E192" s="50" t="str">
        <x:v>600484OWXO</x:v>
      </x:c>
      <x:c r="F192" s="50" t="str">
        <x:v>6317</x:v>
      </x:c>
      <x:c r="G192" s="45" t="str">
        <x:v>TOMA ECOGRAFIAS</x:v>
      </x:c>
      <x:c r="H192" s="45" t="str">
        <x:v>EQUIPO REQUIERE ACTUALIZACIÓN DE SOFTWARE. FUNCIONA CON OBSERVACIONES</x:v>
      </x:c>
      <x:c r="I192" s="45" t="n">
        <x:v>9</x:v>
      </x:c>
      <x:c r="J192" s="45" t="str">
        <x:v>Operativo con observaciones</x:v>
      </x:c>
      <x:c r="K192" s="45" t="str">
        <x:v>Operativo con observaciones</x:v>
      </x:c>
      <x:c r="L192" s="45" t="str">
        <x:v>TOMA ECOGRAFIAS</x:v>
      </x:c>
      <x:c r="M192" s="45" t="str">
        <x:v>base</x:v>
      </x:c>
      <x:c r="N192" s="45" t="str">
        <x:v>EQUIPO REQUIERE ACTUALIZACIÓN DE SOFTWARE. FUNCIONA CON OBSERVACIONES</x:v>
      </x:c>
      <x:c r="O192" s="49" t="str">
        <x:v>No indicada</x:v>
      </x:c>
      <x:c r="P192" s="50" t="str">
        <x:v>No aplica</x:v>
      </x:c>
      <x:c r="Q192" s="45" t="str">
        <x:v>No aplica</x:v>
      </x:c>
      <x:c r="R192" s="45" t="str"/>
      <x:c r="S192" s="45" t="str">
        <x:v>Gestionar observaciones originales y documentar verificación técnica posterior</x:v>
      </x:c>
      <x:c r="T192" s="45" t="str">
        <x:v>Intervención o verificación técnica</x:v>
      </x:c>
      <x:c r="U192" s="45" t="str">
        <x:v>S2, p. 9, ítem 188</x:v>
      </x:c>
      <x:c r="V192" s="45" t="str">
        <x:v>CAIMI-S2-188</x:v>
      </x:c>
    </x:row>
    <x:row r="193" ht="42" customHeight="1">
      <x:c r="A193" s="45" t="n">
        <x:v>189</x:v>
      </x:c>
      <x:c r="B193" s="45" t="str">
        <x:v>LAMPARA CUELLO CISNE</x:v>
      </x:c>
      <x:c r="C193" s="45" t="str">
        <x:v>WELCH ALLYN</x:v>
      </x:c>
      <x:c r="D193" s="50" t="str">
        <x:v>GS-300</x:v>
      </x:c>
      <x:c r="E193" s="50" t="str">
        <x:v>N/R</x:v>
      </x:c>
      <x:c r="F193" s="50" t="str">
        <x:v>3406</x:v>
      </x:c>
      <x:c r="G193" s="45" t="str">
        <x:v>REANIMACION</x:v>
      </x:c>
      <x:c r="H193" s="45" t="str">
        <x:v>EQUIPO OPERATIVO EN EL SERVICIO</x:v>
      </x:c>
      <x:c r="I193" s="45" t="n">
        <x:v>9</x:v>
      </x:c>
      <x:c r="J193" s="45" t="str">
        <x:v>Operativo explícito sin incidencia pendiente consignada</x:v>
      </x:c>
      <x:c r="K193" s="45" t="str">
        <x:v>Operativo explícito sin incidencia pendiente consignada</x:v>
      </x:c>
      <x:c r="L193" s="45" t="str">
        <x:v>REANIMACION</x:v>
      </x:c>
      <x:c r="M193" s="45" t="str">
        <x:v>base</x:v>
      </x:c>
      <x:c r="N193" s="45" t="str">
        <x:v>EQUIPO OPERATIVO EN EL SERVICIO</x:v>
      </x:c>
      <x:c r="O193" s="49" t="str">
        <x:v>No indicada</x:v>
      </x:c>
      <x:c r="P193" s="50" t="str">
        <x:v>No aplica</x:v>
      </x:c>
      <x:c r="Q193" s="45" t="str">
        <x:v>No aplica</x:v>
      </x:c>
      <x:c r="R193" s="45" t="str"/>
      <x:c r="S193" s="45" t="str">
        <x:v>Mantener seguimiento preventivo institucional</x:v>
      </x:c>
      <x:c r="T193" s="45" t="str"/>
      <x:c r="U193" s="45" t="str">
        <x:v>S2, p. 9, ítem 189</x:v>
      </x:c>
      <x:c r="V193" s="45" t="str">
        <x:v>CAIMI-S2-189</x:v>
      </x:c>
    </x:row>
    <x:row r="194" ht="42" customHeight="1">
      <x:c r="A194" s="45" t="n">
        <x:v>190</x:v>
      </x:c>
      <x:c r="B194" s="45" t="str">
        <x:v>LAMPARA CUELLO CISNE</x:v>
      </x:c>
      <x:c r="C194" s="45" t="str">
        <x:v>WELCH ALLYN</x:v>
      </x:c>
      <x:c r="D194" s="50" t="str">
        <x:v>GS-300</x:v>
      </x:c>
      <x:c r="E194" s="50" t="str">
        <x:v>N/R</x:v>
      </x:c>
      <x:c r="F194" s="50" t="str">
        <x:v>3220</x:v>
      </x:c>
      <x:c r="G194" s="45" t="str">
        <x:v>TOMA DE MUESTRAS</x:v>
      </x:c>
      <x:c r="H194" s="45" t="str">
        <x:v>EQUIPO FUCIONA CORRECTAMENTE</x:v>
      </x:c>
      <x:c r="I194" s="45" t="n">
        <x:v>9</x:v>
      </x:c>
      <x:c r="J194" s="45" t="str">
        <x:v>Operativo explícito sin incidencia pendiente consignada</x:v>
      </x:c>
      <x:c r="K194" s="45" t="str">
        <x:v>Operativo explícito sin incidencia pendiente consignada</x:v>
      </x:c>
      <x:c r="L194" s="45" t="str">
        <x:v>TOMA DE MUESTRAS</x:v>
      </x:c>
      <x:c r="M194" s="45" t="str">
        <x:v>base</x:v>
      </x:c>
      <x:c r="N194" s="45" t="str">
        <x:v>EQUIPO FUCIONA CORRECTAMENTE</x:v>
      </x:c>
      <x:c r="O194" s="49" t="str">
        <x:v>No indicada</x:v>
      </x:c>
      <x:c r="P194" s="50" t="str">
        <x:v>No aplica</x:v>
      </x:c>
      <x:c r="Q194" s="45" t="str">
        <x:v>No aplica</x:v>
      </x:c>
      <x:c r="R194" s="45" t="str"/>
      <x:c r="S194" s="45" t="str">
        <x:v>Mantener seguimiento preventivo institucional</x:v>
      </x:c>
      <x:c r="T194" s="45" t="str"/>
      <x:c r="U194" s="45" t="str">
        <x:v>S2, p. 9, ítem 190</x:v>
      </x:c>
      <x:c r="V194" s="45" t="str">
        <x:v>CAIMI-S2-190</x:v>
      </x:c>
    </x:row>
    <x:row r="195" ht="42" customHeight="1">
      <x:c r="A195" s="45" t="n">
        <x:v>191</x:v>
      </x:c>
      <x:c r="B195" s="45" t="str">
        <x:v>MICROPIPETA</x:v>
      </x:c>
      <x:c r="C195" s="45" t="str">
        <x:v>BOECO</x:v>
      </x:c>
      <x:c r="D195" s="50" t="str">
        <x:v>5-50 UL</x:v>
      </x:c>
      <x:c r="E195" s="50" t="str">
        <x:v>OB1112224</x:v>
      </x:c>
      <x:c r="F195" s="50" t="str">
        <x:v>6339</x:v>
      </x:c>
      <x:c r="G195" s="45" t="str">
        <x:v>LABORATORIO</x:v>
      </x:c>
      <x:c r="H195" s="45" t="str">
        <x:v>EQUIPO OPERATIVO EN EL SERVICIO</x:v>
      </x:c>
      <x:c r="I195" s="45" t="n">
        <x:v>9</x:v>
      </x:c>
      <x:c r="J195" s="45" t="str">
        <x:v>Operativo explícito sin incidencia pendiente consignada</x:v>
      </x:c>
      <x:c r="K195" s="45" t="str">
        <x:v>Operativo explícito sin incidencia pendiente consignada</x:v>
      </x:c>
      <x:c r="L195" s="45" t="str">
        <x:v>LABORATORIO</x:v>
      </x:c>
      <x:c r="M195" s="45" t="str">
        <x:v>base</x:v>
      </x:c>
      <x:c r="N195" s="45" t="str">
        <x:v>EQUIPO OPERATIVO EN EL SERVICIO</x:v>
      </x:c>
      <x:c r="O195" s="49" t="str">
        <x:v>No indicada</x:v>
      </x:c>
      <x:c r="P195" s="50" t="str">
        <x:v>No aplica</x:v>
      </x:c>
      <x:c r="Q195" s="45" t="str">
        <x:v>No aplica</x:v>
      </x:c>
      <x:c r="R195" s="45" t="str"/>
      <x:c r="S195" s="45" t="str">
        <x:v>Mantener seguimiento preventivo institucional</x:v>
      </x:c>
      <x:c r="T195" s="45" t="str"/>
      <x:c r="U195" s="45" t="str">
        <x:v>S2, p. 9, ítem 191</x:v>
      </x:c>
      <x:c r="V195" s="45" t="str">
        <x:v>CAIMI-S2-191</x:v>
      </x:c>
    </x:row>
    <x:row r="196" ht="42" customHeight="1">
      <x:c r="A196" s="45" t="n">
        <x:v>192</x:v>
      </x:c>
      <x:c r="B196" s="45" t="str">
        <x:v>TENSIOMETRO RODANTE</x:v>
      </x:c>
      <x:c r="C196" s="45" t="str">
        <x:v>WELCH ALLYN</x:v>
      </x:c>
      <x:c r="D196" s="50" t="str">
        <x:v>LIFE TIME</x:v>
      </x:c>
      <x:c r="E196" s="50" t="str">
        <x:v>61123086341</x:v>
      </x:c>
      <x:c r="F196" s="50" t="str">
        <x:v>3450</x:v>
      </x:c>
      <x:c r="G196" s="45" t="str">
        <x:v>OBSERVACION</x:v>
      </x:c>
      <x:c r="H196" s="45" t="str">
        <x:v>EQUIPO FUNCIONA CORRECTAMENTE, REQUIERE CAMBIO DE BRAZALETE.FUNCIONA CON OBSERVACIONES</x:v>
      </x:c>
      <x:c r="I196" s="45" t="n">
        <x:v>9</x:v>
      </x:c>
      <x:c r="J196" s="45" t="str">
        <x:v>Operativo con observaciones</x:v>
      </x:c>
      <x:c r="K196" s="45" t="str">
        <x:v>Operativo con observaciones</x:v>
      </x:c>
      <x:c r="L196" s="45" t="str">
        <x:v>OBSERVACION</x:v>
      </x:c>
      <x:c r="M196" s="45" t="str">
        <x:v>base</x:v>
      </x:c>
      <x:c r="N196" s="45" t="str">
        <x:v>EQUIPO FUNCIONA CORRECTAMENTE, REQUIERE CAMBIO DE BRAZALETE.FUNCIONA CON OBSERVACIONES</x:v>
      </x:c>
      <x:c r="O196" s="49" t="str">
        <x:v>No indicada</x:v>
      </x:c>
      <x:c r="P196" s="50" t="str">
        <x:v>No aplica</x:v>
      </x:c>
      <x:c r="Q196" s="45" t="str">
        <x:v>No aplica</x:v>
      </x:c>
      <x:c r="R196" s="45" t="str"/>
      <x:c r="S196" s="45" t="str">
        <x:v>Gestionar observaciones originales y documentar verificación técnica posterior</x:v>
      </x:c>
      <x:c r="T196" s="45" t="str">
        <x:v>Intervención o verificación técnica</x:v>
      </x:c>
      <x:c r="U196" s="45" t="str">
        <x:v>S2, p. 9, ítem 192</x:v>
      </x:c>
      <x:c r="V196" s="45" t="str">
        <x:v>CAIMI-S2-192</x:v>
      </x:c>
    </x:row>
    <x:row r="197" ht="42" customHeight="1">
      <x:c r="A197" s="45" t="n">
        <x:v>193</x:v>
      </x:c>
      <x:c r="B197" s="45" t="str">
        <x:v>AUTOCLAVE</x:v>
      </x:c>
      <x:c r="C197" s="45" t="str">
        <x:v>STERICLINIC</x:v>
      </x:c>
      <x:c r="D197" s="50" t="str">
        <x:v>STE500</x:v>
      </x:c>
      <x:c r="E197" s="50" t="str">
        <x:v>291119-STE500- 330L2P-N0001</x:v>
      </x:c>
      <x:c r="F197" s="50" t="str">
        <x:v>6197</x:v>
      </x:c>
      <x:c r="G197" s="45" t="str">
        <x:v>ESTERILIZACION</x:v>
      </x:c>
      <x:c r="H197" s="45" t="str">
        <x:v>EQUIPO REQUIERE CAMBIO DE MANÓMETRO DE CHAQUETA, LA VALVULA DE SEGURIDAD REQUIERE CAMBIO</x:v>
      </x:c>
      <x:c r="I197" s="45" t="n">
        <x:v>9</x:v>
      </x:c>
      <x:c r="J197" s="45" t="str">
        <x:v>Condición técnica por verificar</x:v>
      </x:c>
      <x:c r="K197" s="45" t="str">
        <x:v>Condición técnica por verificar</x:v>
      </x:c>
      <x:c r="L197" s="45" t="str">
        <x:v>ESTERILIZACION</x:v>
      </x:c>
      <x:c r="M197" s="45" t="str">
        <x:v>base</x:v>
      </x:c>
      <x:c r="N197" s="45" t="str">
        <x:v>EQUIPO REQUIERE CAMBIO DE MANÓMETRO DE CHAQUETA, LA VALVULA DE SEGURIDAD REQUIERE CAMBIO</x:v>
      </x:c>
      <x:c r="O197" s="49" t="str">
        <x:v>No indicada</x:v>
      </x:c>
      <x:c r="P197" s="50" t="str">
        <x:v>No aplica</x:v>
      </x:c>
      <x:c r="Q197" s="45" t="str">
        <x:v>No aplica</x:v>
      </x:c>
      <x:c r="R197" s="45" t="str"/>
      <x:c r="S197" s="45" t="str">
        <x:v>Gestionar observaciones originales y documentar verificación técnica posterior</x:v>
      </x:c>
      <x:c r="T197" s="45" t="str">
        <x:v>Intervención o verificación técnica</x:v>
      </x:c>
      <x:c r="U197" s="45" t="str">
        <x:v>S2, p. 9, ítem 193</x:v>
      </x:c>
      <x:c r="V197" s="45" t="str">
        <x:v>CAIMI-S2-193</x:v>
      </x:c>
    </x:row>
    <x:row r="198" ht="42" customHeight="1">
      <x:c r="A198" s="45" t="n">
        <x:v>194</x:v>
      </x:c>
      <x:c r="B198" s="45" t="str">
        <x:v>EQUIPO DE RAYOS X</x:v>
      </x:c>
      <x:c r="C198" s="45" t="str">
        <x:v>GENERAL ELECTRIC</x:v>
      </x:c>
      <x:c r="D198" s="50" t="str">
        <x:v>XR 6000</x:v>
      </x:c>
      <x:c r="E198" s="50" t="str">
        <x:v>173261HL9</x:v>
      </x:c>
      <x:c r="F198" s="50" t="str">
        <x:v>6316</x:v>
      </x:c>
      <x:c r="G198" s="45" t="str">
        <x:v>IMAGENOLOGÍA</x:v>
      </x:c>
      <x:c r="H198" s="45" t="str">
        <x:v>EQUIPO OPERATIVO EN EL SERVICIO</x:v>
      </x:c>
      <x:c r="I198" s="45" t="n">
        <x:v>9</x:v>
      </x:c>
      <x:c r="J198" s="45" t="str">
        <x:v>Operativo explícito sin incidencia pendiente consignada</x:v>
      </x:c>
      <x:c r="K198" s="45" t="str">
        <x:v>Operativo explícito sin incidencia pendiente consignada</x:v>
      </x:c>
      <x:c r="L198" s="45" t="str">
        <x:v>IMAGENOLOGÍA</x:v>
      </x:c>
      <x:c r="M198" s="45" t="str">
        <x:v>base</x:v>
      </x:c>
      <x:c r="N198" s="45" t="str">
        <x:v>EQUIPO OPERATIVO EN EL SERVICIO</x:v>
      </x:c>
      <x:c r="O198" s="49" t="str">
        <x:v>No indicada</x:v>
      </x:c>
      <x:c r="P198" s="50" t="str">
        <x:v>No aplica</x:v>
      </x:c>
      <x:c r="Q198" s="45" t="str">
        <x:v>No aplica</x:v>
      </x:c>
      <x:c r="R198" s="45" t="str"/>
      <x:c r="S198" s="45" t="str">
        <x:v>Mantener seguimiento preventivo institucional</x:v>
      </x:c>
      <x:c r="T198" s="45" t="str"/>
      <x:c r="U198" s="45" t="str">
        <x:v>S2, p. 9, ítem 194</x:v>
      </x:c>
      <x:c r="V198" s="45" t="str">
        <x:v>CAIMI-S2-194</x:v>
      </x:c>
    </x:row>
  </x:sheetData>
  <x:mergeCells>
    <x:mergeCell ref="A1:V1"/>
    <x:mergeCell ref="A2:V2"/>
  </x:mergeCells>
  <x:pageMargins left="0.7" right="0.7" top="0.75" bottom="0.75" header="0.3" footer="0.3"/>
  <x:tableParts count="1">
    <x:tablePart xmlns:r="http://schemas.openxmlformats.org/officeDocument/2006/relationships" r:id="Rd6f7bcab8fa04ba6"/>
  </x:tableParts>
</x:worksheet>
</file>

<file path=xl/worksheets/sheet3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8" hidden="0" customWidth="1"/>
    <x:col min="2" max="2" width="28" hidden="0" customWidth="1"/>
    <x:col min="3" max="3" width="16" hidden="0" customWidth="1"/>
    <x:col min="4" max="4" width="24" hidden="0" customWidth="1"/>
    <x:col min="5" max="5" width="28" hidden="0" customWidth="1"/>
    <x:col min="6" max="6" width="38" hidden="0" customWidth="1"/>
    <x:col min="7" max="7" width="16" hidden="0" customWidth="1"/>
    <x:col min="8" max="8" width="16" hidden="0" customWidth="1"/>
    <x:col min="9" max="9" width="12" hidden="0" customWidth="1"/>
    <x:col min="10" max="10" width="22" hidden="0" customWidth="1"/>
    <x:col min="11" max="11" width="30" hidden="0" customWidth="1"/>
    <x:col min="12" max="12" width="48" hidden="0" customWidth="1"/>
    <x:col min="13" max="13" width="44" hidden="0" customWidth="1"/>
    <x:col min="14" max="14" width="48" hidden="0" customWidth="1"/>
    <x:col min="15" max="15" width="48" hidden="0" customWidth="1"/>
    <x:col min="16" max="16" width="44" hidden="0" customWidth="1"/>
  </x:cols>
  <x:sheetData>
    <x:row r="1" ht="28" customHeight="1">
      <x:c r="A1" s="40" t="str">
        <x:v>Conciliación de anotaciones iniciales de no ubicación</x:v>
      </x:c>
      <x:c r="B1" s="40"/>
      <x:c r="C1" s="40"/>
      <x:c r="D1" s="40"/>
      <x:c r="E1" s="40"/>
      <x:c r="F1" s="40"/>
      <x:c r="G1" s="40"/>
      <x:c r="H1" s="40"/>
      <x:c r="I1" s="40"/>
      <x:c r="J1" s="40"/>
      <x:c r="K1" s="40"/>
      <x:c r="L1" s="40"/>
      <x:c r="M1" s="40"/>
      <x:c r="N1" s="40"/>
      <x:c r="O1" s="40"/>
      <x:c r="P1" s="40"/>
    </x:row>
    <x:row r="2" ht="32" customHeight="1">
      <x:c r="A2" s="42" t="str">
        <x:v>15 registros iniciales; 14 reportes individuales. La localización y la condición técnica se verifican por separado.</x:v>
      </x:c>
      <x:c r="B2" s="42"/>
      <x:c r="C2" s="42"/>
      <x:c r="D2" s="42"/>
      <x:c r="E2" s="42"/>
      <x:c r="F2" s="42"/>
      <x:c r="G2" s="42"/>
      <x:c r="H2" s="42"/>
      <x:c r="I2" s="42"/>
      <x:c r="J2" s="42"/>
      <x:c r="K2" s="42"/>
      <x:c r="L2" s="42"/>
      <x:c r="M2" s="42"/>
      <x:c r="N2" s="42"/>
      <x:c r="O2" s="42"/>
      <x:c r="P2" s="42"/>
    </x:row>
    <x:row r="4" ht="34" customHeight="1">
      <x:c r="A4" s="48" t="str">
        <x:v>Ítem</x:v>
      </x:c>
      <x:c r="B4" s="48" t="str">
        <x:v>Equipo</x:v>
      </x:c>
      <x:c r="C4" s="48" t="str">
        <x:v>Placa fuente</x:v>
      </x:c>
      <x:c r="D4" s="48" t="str">
        <x:v>Serie fuente</x:v>
      </x:c>
      <x:c r="E4" s="48" t="str">
        <x:v>Servicio inicial</x:v>
      </x:c>
      <x:c r="F4" s="48" t="str">
        <x:v>Observación inicial</x:v>
      </x:c>
      <x:c r="G4" s="48" t="str">
        <x:v>Reporte</x:v>
      </x:c>
      <x:c r="H4" s="48" t="str">
        <x:v>Fecha</x:v>
      </x:c>
      <x:c r="I4" s="48" t="str">
        <x:v>Página certificación</x:v>
      </x:c>
      <x:c r="J4" s="48" t="str">
        <x:v>Método de vínculo</x:v>
      </x:c>
      <x:c r="K4" s="48" t="str">
        <x:v>Ubicación según reporte</x:v>
      </x:c>
      <x:c r="L4" s="48" t="str">
        <x:v>Condición según reporte</x:v>
      </x:c>
      <x:c r="M4" s="48" t="str">
        <x:v>Estado consolidado</x:v>
      </x:c>
      <x:c r="N4" s="48" t="str">
        <x:v>Nota de identidad</x:v>
      </x:c>
      <x:c r="O4" s="48" t="str">
        <x:v>Acción técnica / documental</x:v>
      </x:c>
      <x:c r="P4" s="48" t="str">
        <x:v>Alcance del cierre</x:v>
      </x:c>
    </x:row>
    <x:row r="5" ht="68" customHeight="1">
      <x:c r="A5" s="45" t="n">
        <x:v>41</x:v>
      </x:c>
      <x:c r="B5" s="45" t="str">
        <x:v>SUCCIONADOR</x:v>
      </x:c>
      <x:c r="C5" s="50" t="str">
        <x:v>3404</x:v>
      </x:c>
      <x:c r="D5" s="50" t="str">
        <x:v>79900002352</x:v>
      </x:c>
      <x:c r="E5" s="45" t="str">
        <x:v>REANIMACION</x:v>
      </x:c>
      <x:c r="F5" s="45" t="str">
        <x:v>EQUIPO NO SE UBICO EN EL SERVICIO</x:v>
      </x:c>
      <x:c r="G5" s="50" t="str">
        <x:v>43824</x:v>
      </x:c>
      <x:c r="H5" s="49" t="d">
        <x:v>2026-10-08T00:00:00.000Z</x:v>
      </x:c>
      <x:c r="I5" s="45" t="n">
        <x:v>3</x:v>
      </x:c>
      <x:c r="J5" s="45" t="str">
        <x:v>placa</x:v>
      </x:c>
      <x:c r="K5" s="45" t="str">
        <x:v>Bodega administrativa</x:v>
      </x:c>
      <x:c r="L5" s="45" t="str">
        <x:v>Funciona con observaciones; fisura en reservorio; recomienda cambiar reservorio</x:v>
      </x:c>
      <x:c r="M5" s="45" t="str">
        <x:v>Operativo con observaciones</x:v>
      </x:c>
      <x:c r="N5" s="45" t="str">
        <x:v>La serie manuscrita se lee 7990002352 frente a 79900002352 del inventario; conservar diferencia, sin corregir fuente.</x:v>
      </x:c>
      <x:c r="O5" s="45" t="str">
        <x:v>Gestionar cambio de reservorio y corroborar serie</x:v>
      </x:c>
      <x:c r="P5" s="45" t="str">
        <x:v>Ubicación aclarada documentalmente; conservar gestión técnica indicada</x:v>
      </x:c>
    </x:row>
    <x:row r="6" ht="68" customHeight="1">
      <x:c r="A6" s="45" t="n">
        <x:v>101</x:v>
      </x:c>
      <x:c r="B6" s="45" t="str">
        <x:v>MICROPIPETA</x:v>
      </x:c>
      <x:c r="C6" s="50" t="str">
        <x:v>2820</x:v>
      </x:c>
      <x:c r="D6" s="50" t="str">
        <x:v>N/R</x:v>
      </x:c>
      <x:c r="E6" s="45" t="str">
        <x:v>LABORATORIO</x:v>
      </x:c>
      <x:c r="F6" s="45" t="str">
        <x:v>EQUIPO NO SE ENCUENTRA EN EL SERVICIO</x:v>
      </x:c>
      <x:c r="G6" s="50" t="str">
        <x:v>43823</x:v>
      </x:c>
      <x:c r="H6" s="49" t="d">
        <x:v>2026-10-08T00:00:00.000Z</x:v>
      </x:c>
      <x:c r="I6" s="45" t="n">
        <x:v>4</x:v>
      </x:c>
      <x:c r="J6" s="45" t="str">
        <x:v>placa</x:v>
      </x:c>
      <x:c r="K6" s="45" t="str">
        <x:v>Laboratorio</x:v>
      </x:c>
      <x:c r="L6" s="45" t="str">
        <x:v>Fuera de servicio; no pasa test de volumen, deterioro de carcasa y sistema de lectura bloqueado; recomienda baja</x:v>
      </x:c>
      <x:c r="M6" s="45" t="str">
        <x:v>Fuera de servicio explícito</x:v>
      </x:c>
      <x:c r="N6" s="45" t="str">
        <x:v>Rango manuscrito parece 5-80 UL frente a 5-30 UL en inventario; lectura por corroborar. No equivale a baja ejecutada.</x:v>
      </x:c>
      <x:c r="O6" s="45" t="str">
        <x:v>Evaluación institucional de recomendación de baja y validación del rango</x:v>
      </x:c>
      <x:c r="P6" s="45" t="str">
        <x:v>Ubicación aclarada documentalmente; conservar gestión técnica indicada</x:v>
      </x:c>
    </x:row>
    <x:row r="7" ht="68" customHeight="1">
      <x:c r="A7" s="45" t="n">
        <x:v>140</x:v>
      </x:c>
      <x:c r="B7" s="45" t="str">
        <x:v>EQUIPO DE ÓRGANOS DE PARED</x:v>
      </x:c>
      <x:c r="C7" s="50" t="str">
        <x:v>3237</x:v>
      </x:c>
      <x:c r="D7" s="50" t="str">
        <x:v>NR</x:v>
      </x:c>
      <x:c r="E7" s="45" t="str">
        <x:v>ALMACEN DE MEDICAMENTOS</x:v>
      </x:c>
      <x:c r="F7" s="45" t="str">
        <x:v>NO SE ENCONTRO EN EL SERVICIO</x:v>
      </x:c>
      <x:c r="G7" s="50" t="str">
        <x:v>42295</x:v>
      </x:c>
      <x:c r="H7" s="49" t="d">
        <x:v>2026-07-09T00:00:00.000Z</x:v>
      </x:c>
      <x:c r="I7" s="45" t="n">
        <x:v>5</x:v>
      </x:c>
      <x:c r="J7" s="45" t="str">
        <x:v>placa</x:v>
      </x:c>
      <x:c r="K7" s="45" t="str">
        <x:v>Sala de partos / almacén</x:v>
      </x:c>
      <x:c r="L7" s="45" t="str">
        <x:v>Fuera de servicio; faltan dos cabezales</x:v>
      </x:c>
      <x:c r="M7" s="45" t="str">
        <x:v>Fuera de servicio explícito</x:v>
      </x:c>
      <x:c r="N7" s="45" t="str">
        <x:v>Servicio concluido y equipo fuera de servicio marcados simultáneamente; son dimensiones distintas.</x:v>
      </x:c>
      <x:c r="O7" s="45" t="str">
        <x:v>Gestionar cabezales y nueva validación funcional</x:v>
      </x:c>
      <x:c r="P7" s="45" t="str">
        <x:v>Ubicación aclarada documentalmente; conservar gestión técnica indicada</x:v>
      </x:c>
    </x:row>
    <x:row r="8" ht="68" customHeight="1">
      <x:c r="A8" s="45" t="n">
        <x:v>141</x:v>
      </x:c>
      <x:c r="B8" s="45" t="str">
        <x:v>TENSIÓMETRO DE PARED</x:v>
      </x:c>
      <x:c r="C8" s="50" t="str">
        <x:v>6397</x:v>
      </x:c>
      <x:c r="D8" s="50" t="str">
        <x:v>200109000000</x:v>
      </x:c>
      <x:c r="E8" s="45" t="str">
        <x:v>SALA DE VISITA</x:v>
      </x:c>
      <x:c r="F8" s="45" t="str">
        <x:v>NO SE ENCONTRO EN EL SERVICIO</x:v>
      </x:c>
      <x:c r="G8" s="50" t="str">
        <x:v>42296</x:v>
      </x:c>
      <x:c r="H8" s="49" t="d">
        <x:v>2026-07-09T00:00:00.000Z</x:v>
      </x:c>
      <x:c r="I8" s="45" t="n">
        <x:v>6</x:v>
      </x:c>
      <x:c r="J8" s="45" t="str">
        <x:v>placa</x:v>
      </x:c>
      <x:c r="K8" s="45" t="str">
        <x:v>Sala de partos / almacén</x:v>
      </x:c>
      <x:c r="L8" s="45" t="str">
        <x:v>Equipo operativo en el servicio</x:v>
      </x:c>
      <x:c r="M8" s="45" t="str">
        <x:v>Operativo explícito sin incidencia pendiente consignada</x:v>
      </x:c>
      <x:c r="N8" s="45" t="str">
        <x:v>Registrar cambio de ubicación; verificar ceros de serie si se transcribe el manuscrito.</x:v>
      </x:c>
      <x:c r="O8" s="45" t="str">
        <x:v>Actualizar ubicación en registro institucional</x:v>
      </x:c>
      <x:c r="P8" s="45" t="str">
        <x:v>Ubicación aclarada documentalmente; conservar gestión técnica indicada</x:v>
      </x:c>
    </x:row>
    <x:row r="9" ht="68" customHeight="1">
      <x:c r="A9" s="45" t="n">
        <x:v>153</x:v>
      </x:c>
      <x:c r="B9" s="45" t="str">
        <x:v>SUCCIONADOR</x:v>
      </x:c>
      <x:c r="C9" s="50" t="str">
        <x:v>3259</x:v>
      </x:c>
      <x:c r="D9" s="50" t="str">
        <x:v>10393</x:v>
      </x:c>
      <x:c r="E9" s="45" t="str">
        <x:v>SALA DE PARTOS 1</x:v>
      </x:c>
      <x:c r="F9" s="45" t="str">
        <x:v>EQUIPO NO SE ENCONTRO EN EL SERVICIO</x:v>
      </x:c>
      <x:c r="G9" s="50" t="str">
        <x:v>43825</x:v>
      </x:c>
      <x:c r="H9" s="49" t="d">
        <x:v>2026-10-08T00:00:00.000Z</x:v>
      </x:c>
      <x:c r="I9" s="45" t="n">
        <x:v>7</x:v>
      </x:c>
      <x:c r="J9" s="45" t="str">
        <x:v>placa</x:v>
      </x:c>
      <x:c r="K9" s="45" t="str">
        <x:v>Bodega de medicamentos de partos (observaciones); encabezado Sala de partos 1</x:v>
      </x:c>
      <x:c r="L9" s="45" t="str">
        <x:v>Servicio en proceso; requiere niple de 1/4 para fijar manguera siliconada</x:v>
      </x:c>
      <x:c r="M9" s="45" t="str">
        <x:v>Intervención en proceso</x:v>
      </x:c>
      <x:c r="N9" s="45" t="str">
        <x:v>Marca/modelo/serie no diligenciados en reporte; casilla de funcionamiento marcada, pero servicio en proceso y accesorio pendiente.</x:v>
      </x:c>
      <x:c r="O9" s="45" t="str">
        <x:v>Completar intervención, registrar resultado y ubicación</x:v>
      </x:c>
      <x:c r="P9" s="45" t="str">
        <x:v>Ubicación aclarada documentalmente; conservar gestión técnica indicada</x:v>
      </x:c>
    </x:row>
    <x:row r="10" ht="68" customHeight="1">
      <x:c r="A10" s="45" t="n">
        <x:v>170</x:v>
      </x:c>
      <x:c r="B10" s="45" t="str">
        <x:v>PESA BEBÉ</x:v>
      </x:c>
      <x:c r="C10" s="50" t="str">
        <x:v>4427</x:v>
      </x:c>
      <x:c r="D10" s="50" t="str">
        <x:v>N/R</x:v>
      </x:c>
      <x:c r="E10" s="45" t="str">
        <x:v>N/R</x:v>
      </x:c>
      <x:c r="F10" s="45" t="str">
        <x:v>NO SE ENCONTRO EN EL SERVICIO</x:v>
      </x:c>
      <x:c r="G10" s="50" t="str">
        <x:v>40998</x:v>
      </x:c>
      <x:c r="H10" s="49" t="d">
        <x:v>2026-08-03T00:00:00.000Z</x:v>
      </x:c>
      <x:c r="I10" s="45" t="n">
        <x:v>8</x:v>
      </x:c>
      <x:c r="J10" s="45" t="str">
        <x:v>placa</x:v>
      </x:c>
      <x:c r="K10" s="45" t="str">
        <x:v>Sala de partos</x:v>
      </x:c>
      <x:c r="L10" s="45" t="str">
        <x:v>Fuera de servicio; daño en celda de pesaje, ajuste/calibración intentados sin éxito; recomienda baja</x:v>
      </x:c>
      <x:c r="M10" s="45" t="str">
        <x:v>Fuera de servicio explícito</x:v>
      </x:c>
      <x:c r="N10" s="45" t="str">
        <x:v>Intento de calibración no acredita calibración favorable ni baja ejecutada.</x:v>
      </x:c>
      <x:c r="O10" s="45" t="str">
        <x:v>Evaluación institucional de recomendación de baja</x:v>
      </x:c>
      <x:c r="P10" s="45" t="str">
        <x:v>Ubicación aclarada documentalmente; conservar gestión técnica indicada</x:v>
      </x:c>
    </x:row>
    <x:row r="11" ht="68" customHeight="1">
      <x:c r="A11" s="45" t="n">
        <x:v>172</x:v>
      </x:c>
      <x:c r="B11" s="45" t="str">
        <x:v>DOPPLER FETAL</x:v>
      </x:c>
      <x:c r="C11" s="50" t="str">
        <x:v>6222</x:v>
      </x:c>
      <x:c r="D11" s="50" t="str">
        <x:v>560054- M19200960062</x:v>
      </x:c>
      <x:c r="E11" s="45" t="str">
        <x:v>SALA PARTOS ALMACÉN MEDICAMENTOS</x:v>
      </x:c>
      <x:c r="F11" s="45" t="str">
        <x:v>NO SE ENCONTRO EN EL SERVICIO</x:v>
      </x:c>
      <x:c r="G11" s="50" t="str">
        <x:v>42229</x:v>
      </x:c>
      <x:c r="H11" s="49" t="d">
        <x:v>2026-07-14T00:00:00.000Z</x:v>
      </x:c>
      <x:c r="I11" s="45" t="n">
        <x:v>9</x:v>
      </x:c>
      <x:c r="J11" s="45" t="str">
        <x:v>placa</x:v>
      </x:c>
      <x:c r="K11" s="45" t="str">
        <x:v>Sala de partos / almacén</x:v>
      </x:c>
      <x:c r="L11" s="45" t="str">
        <x:v>Equipo funciona correctamente</x:v>
      </x:c>
      <x:c r="M11" s="45" t="str">
        <x:v>Operativo explícito sin incidencia pendiente consignada</x:v>
      </x:c>
      <x:c r="N11" s="45" t="str">
        <x:v>Serie del reporte abreviada; conservar representación original completa.</x:v>
      </x:c>
      <x:c r="O11" s="45" t="str">
        <x:v>Actualizar ubicación y trazabilidad</x:v>
      </x:c>
      <x:c r="P11" s="45" t="str">
        <x:v>Ubicación aclarada documentalmente; conservar gestión técnica indicada</x:v>
      </x:c>
    </x:row>
    <x:row r="12" ht="68" customHeight="1">
      <x:c r="A12" s="45" t="n">
        <x:v>175</x:v>
      </x:c>
      <x:c r="B12" s="45" t="str">
        <x:v>LAMPARA CUELLO CISNE</x:v>
      </x:c>
      <x:c r="C12" s="50" t="str">
        <x:v>3225</x:v>
      </x:c>
      <x:c r="D12" s="50" t="str">
        <x:v>N/A</x:v>
      </x:c>
      <x:c r="E12" s="45" t="str">
        <x:v>SALA DE PARTOS ALMACÉN DE MEDICAMENTOS</x:v>
      </x:c>
      <x:c r="F12" s="45" t="str">
        <x:v>NO SE ENCONTRO EN EL SERVICIO</x:v>
      </x:c>
      <x:c r="G12" s="50" t="str">
        <x:v>42232</x:v>
      </x:c>
      <x:c r="H12" s="49" t="d">
        <x:v>2026-07-14T00:00:00.000Z</x:v>
      </x:c>
      <x:c r="I12" s="45" t="n">
        <x:v>10</x:v>
      </x:c>
      <x:c r="J12" s="45" t="str">
        <x:v>placa</x:v>
      </x:c>
      <x:c r="K12" s="45" t="str">
        <x:v>Sala de partos / almacén</x:v>
      </x:c>
      <x:c r="L12" s="45" t="str">
        <x:v>Equipo operativo en el servicio</x:v>
      </x:c>
      <x:c r="M12" s="45" t="str">
        <x:v>Operativo explícito sin incidencia pendiente consignada</x:v>
      </x:c>
      <x:c r="N12" s="45" t="str">
        <x:v>Denominado lámpara de examen en reporte; coincide placa, marca y modelo.</x:v>
      </x:c>
      <x:c r="O12" s="45" t="str">
        <x:v>Actualizar ubicación y trazabilidad</x:v>
      </x:c>
      <x:c r="P12" s="45" t="str">
        <x:v>Ubicación aclarada documentalmente; conservar gestión técnica indicada</x:v>
      </x:c>
    </x:row>
    <x:row r="13" ht="68" customHeight="1">
      <x:c r="A13" s="45" t="n">
        <x:v>176</x:v>
      </x:c>
      <x:c r="B13" s="45" t="str">
        <x:v>LAMPARA CUELLO CISNE</x:v>
      </x:c>
      <x:c r="C13" s="50" t="str">
        <x:v>3223</x:v>
      </x:c>
      <x:c r="D13" s="50" t="str">
        <x:v>N/R</x:v>
      </x:c>
      <x:c r="E13" s="45" t="str">
        <x:v>SALA DE PARTOS ALMACÉN DE MEDICAMENTOS</x:v>
      </x:c>
      <x:c r="F13" s="45" t="str">
        <x:v>NO SE ENCONTRO EN EL SERVICIO</x:v>
      </x:c>
      <x:c r="G13" s="50" t="str">
        <x:v>42233</x:v>
      </x:c>
      <x:c r="H13" s="49" t="d">
        <x:v>2026-07-14T00:00:00.000Z</x:v>
      </x:c>
      <x:c r="I13" s="45" t="n">
        <x:v>11</x:v>
      </x:c>
      <x:c r="J13" s="45" t="str">
        <x:v>placa</x:v>
      </x:c>
      <x:c r="K13" s="45" t="str">
        <x:v>Sala de partos / almacén</x:v>
      </x:c>
      <x:c r="L13" s="45" t="str">
        <x:v>Equipo operativo en el servicio</x:v>
      </x:c>
      <x:c r="M13" s="45" t="str">
        <x:v>Operativo explícito sin incidencia pendiente consignada</x:v>
      </x:c>
      <x:c r="N13" s="45" t="str">
        <x:v>Denominado lámpara de examen en reporte; coincide placa, marca y modelo.</x:v>
      </x:c>
      <x:c r="O13" s="45" t="str">
        <x:v>Actualizar ubicación y trazabilidad</x:v>
      </x:c>
      <x:c r="P13" s="45" t="str">
        <x:v>Ubicación aclarada documentalmente; conservar gestión técnica indicada</x:v>
      </x:c>
    </x:row>
    <x:row r="14" ht="62" customHeight="1">
      <x:c r="A14" s="45" t="n">
        <x:v>177</x:v>
      </x:c>
      <x:c r="B14" s="45" t="str">
        <x:v>BASCULA DE PISO</x:v>
      </x:c>
      <x:c r="C14" s="50" t="str">
        <x:v>8631</x:v>
      </x:c>
      <x:c r="D14" s="50" t="str">
        <x:v>25689-334</x:v>
      </x:c>
      <x:c r="E14" s="45" t="str">
        <x:v>SALA DE PARTOS ALMACÉN DE MEDICAMENTOS</x:v>
      </x:c>
      <x:c r="F14" s="45" t="str">
        <x:v>NO SE ENCONTRO EN EL SERVICIO</x:v>
      </x:c>
      <x:c r="G14" s="50" t="str">
        <x:v>Sin reporte individual</x:v>
      </x:c>
      <x:c r="H14" s="49" t="str">
        <x:v>No aplica</x:v>
      </x:c>
      <x:c r="I14" s="45" t="str">
        <x:v>No aplica</x:v>
      </x:c>
      <x:c r="J14" s="45" t="str">
        <x:v>sin_reporte</x:v>
      </x:c>
      <x:c r="K14" s="45" t="str">
        <x:v>No individualizada</x:v>
      </x:c>
      <x:c r="L14" s="45" t="str">
        <x:v>No hay reporte individual en esta certificación</x:v>
      </x:c>
      <x:c r="M14" s="45" t="str">
        <x:v>Sin reporte individual en certificación</x:v>
      </x:c>
      <x:c r="N14" s="45" t="str">
        <x:v>La ausencia del soporte individual no prueba pérdida ni acredita ubicación; verificar soportes complementarios.</x:v>
      </x:c>
      <x:c r="O14" s="45" t="str">
        <x:v>Obtener reporte o verificación individual de placa 8631 / serie 25689-334</x:v>
      </x:c>
      <x:c r="P14" s="45" t="str">
        <x:v>Soporte individual por completar</x:v>
      </x:c>
    </x:row>
    <x:row r="15" ht="68" customHeight="1">
      <x:c r="A15" s="45" t="n">
        <x:v>179</x:v>
      </x:c>
      <x:c r="B15" s="45" t="str">
        <x:v>TENSIOMETRO PEDIATRICO</x:v>
      </x:c>
      <x:c r="C15" s="50" t="str">
        <x:v>N/R</x:v>
      </x:c>
      <x:c r="D15" s="50" t="str">
        <x:v>180309105049</x:v>
      </x:c>
      <x:c r="E15" s="45" t="str">
        <x:v>SALA PARTOS ALMACÉN MEDICAMENTOS</x:v>
      </x:c>
      <x:c r="F15" s="45" t="str">
        <x:v>NO SE UBICO EN EL SERVICIO</x:v>
      </x:c>
      <x:c r="G15" s="50" t="str">
        <x:v>42236</x:v>
      </x:c>
      <x:c r="H15" s="49" t="d">
        <x:v>2026-07-14T00:00:00.000Z</x:v>
      </x:c>
      <x:c r="I15" s="45" t="n">
        <x:v>12</x:v>
      </x:c>
      <x:c r="J15" s="45" t="str">
        <x:v>serie</x:v>
      </x:c>
      <x:c r="K15" s="45" t="str">
        <x:v>Sala de partos / almacén</x:v>
      </x:c>
      <x:c r="L15" s="45" t="str">
        <x:v>Equipo operativo en el servicio</x:v>
      </x:c>
      <x:c r="M15" s="45" t="str">
        <x:v>Operativo explícito sin incidencia pendiente consignada</x:v>
      </x:c>
      <x:c r="N15" s="45" t="str">
        <x:v>Sin placa informada; vinculación por serie exacta y atributos compatibles.</x:v>
      </x:c>
      <x:c r="O15" s="45" t="str">
        <x:v>Actualizar ubicación y trazabilidad</x:v>
      </x:c>
      <x:c r="P15" s="45" t="str">
        <x:v>Ubicación aclarada documentalmente; conservar gestión técnica indicada</x:v>
      </x:c>
    </x:row>
    <x:row r="16" ht="68" customHeight="1">
      <x:c r="A16" s="45" t="n">
        <x:v>180</x:v>
      </x:c>
      <x:c r="B16" s="45" t="str">
        <x:v>FOTOFORO LUZ FRIA</x:v>
      </x:c>
      <x:c r="C16" s="50" t="str">
        <x:v>OVS 5148</x:v>
      </x:c>
      <x:c r="D16" s="50" t="str">
        <x:v>18030188</x:v>
      </x:c>
      <x:c r="E16" s="45" t="str">
        <x:v>SALA DE PARTOS ALMACÉN DE MEDICAMENTOS</x:v>
      </x:c>
      <x:c r="F16" s="45" t="str">
        <x:v>NO SE ENCONTRO EN EL SERVICIO</x:v>
      </x:c>
      <x:c r="G16" s="50" t="str">
        <x:v>42237</x:v>
      </x:c>
      <x:c r="H16" s="49" t="d">
        <x:v>2026-07-14T00:00:00.000Z</x:v>
      </x:c>
      <x:c r="I16" s="45" t="n">
        <x:v>13</x:v>
      </x:c>
      <x:c r="J16" s="45" t="str">
        <x:v>serie</x:v>
      </x:c>
      <x:c r="K16" s="45" t="str">
        <x:v>Sala de partos / almacén</x:v>
      </x:c>
      <x:c r="L16" s="45" t="str">
        <x:v>Equipo operativo en el servicio</x:v>
      </x:c>
      <x:c r="M16" s="45" t="str">
        <x:v>Operativo explícito sin incidencia pendiente consignada</x:v>
      </x:c>
      <x:c r="N16" s="45" t="str">
        <x:v>Código OVS 5148 y modelo manuscritos requieren transcripción cuidadosa; serie exacta.</x:v>
      </x:c>
      <x:c r="O16" s="45" t="str">
        <x:v>Actualizar ubicación y validar transcripción de código/modelo</x:v>
      </x:c>
      <x:c r="P16" s="45" t="str">
        <x:v>Ubicación aclarada documentalmente; conservar gestión técnica indicada</x:v>
      </x:c>
    </x:row>
    <x:row r="17" ht="68" customHeight="1">
      <x:c r="A17" s="45" t="n">
        <x:v>181</x:v>
      </x:c>
      <x:c r="B17" s="45" t="str">
        <x:v>FONENDOSCOPIO</x:v>
      </x:c>
      <x:c r="C17" s="50" t="str">
        <x:v>N/R</x:v>
      </x:c>
      <x:c r="D17" s="50" t="str">
        <x:v>N/R</x:v>
      </x:c>
      <x:c r="E17" s="45" t="str">
        <x:v>SALA PARTOS ALMACÉN MEDICAMENTOS</x:v>
      </x:c>
      <x:c r="F17" s="45" t="str">
        <x:v>NO SE ENCONTRO EN EL SERVICIO</x:v>
      </x:c>
      <x:c r="G17" s="50" t="str">
        <x:v>42238</x:v>
      </x:c>
      <x:c r="H17" s="49" t="d">
        <x:v>2026-07-14T00:00:00.000Z</x:v>
      </x:c>
      <x:c r="I17" s="45" t="n">
        <x:v>14</x:v>
      </x:c>
      <x:c r="J17" s="45" t="str">
        <x:v>descripcion</x:v>
      </x:c>
      <x:c r="K17" s="45" t="str">
        <x:v>Sala de partos / almacén</x:v>
      </x:c>
      <x:c r="L17" s="45" t="str">
        <x:v>Equipo funciona correctamente</x:v>
      </x:c>
      <x:c r="M17" s="45" t="str">
        <x:v>Asociación descriptiva por corroborar</x:v>
      </x:c>
      <x:c r="N17" s="45" t="str">
        <x:v>Sin placa ni serie en ambas fuentes; asociación por tipo, marca, modelo y ubicación, no identidad física inequívoca.</x:v>
      </x:c>
      <x:c r="O17" s="45" t="str">
        <x:v>Corroborar individualización y asignar identificador institucional si corresponde</x:v>
      </x:c>
      <x:c r="P17" s="45" t="str">
        <x:v>Asociación descriptiva por corroborar</x:v>
      </x:c>
    </x:row>
    <x:row r="18" ht="68" customHeight="1">
      <x:c r="A18" s="45" t="n">
        <x:v>182</x:v>
      </x:c>
      <x:c r="B18" s="45" t="str">
        <x:v>LAPIZ HALOGENO</x:v>
      </x:c>
      <x:c r="C18" s="50" t="str">
        <x:v>N/R</x:v>
      </x:c>
      <x:c r="D18" s="50" t="str">
        <x:v>N/R</x:v>
      </x:c>
      <x:c r="E18" s="45" t="str">
        <x:v>SALA PARTOS ALMACÉN DE MEDICAMENTOS</x:v>
      </x:c>
      <x:c r="F18" s="45" t="str">
        <x:v>NO SE ENCONTRO EN EL SERVICIO</x:v>
      </x:c>
      <x:c r="G18" s="50" t="str">
        <x:v>42239</x:v>
      </x:c>
      <x:c r="H18" s="49" t="d">
        <x:v>2026-07-14T00:00:00.000Z</x:v>
      </x:c>
      <x:c r="I18" s="45" t="n">
        <x:v>15</x:v>
      </x:c>
      <x:c r="J18" s="45" t="str">
        <x:v>descripcion</x:v>
      </x:c>
      <x:c r="K18" s="45" t="str">
        <x:v>Sala de partos / almacén</x:v>
      </x:c>
      <x:c r="L18" s="45" t="str">
        <x:v>Funciona con observaciones; requiere baterías, dos pilas AAA</x:v>
      </x:c>
      <x:c r="M18" s="45" t="str">
        <x:v>Asociación descriptiva por corroborar</x:v>
      </x:c>
      <x:c r="N18" s="45" t="str">
        <x:v>Sin placa ni serie en ambas fuentes; asociación descriptiva, no identidad física inequívoca.</x:v>
      </x:c>
      <x:c r="O18" s="45" t="str">
        <x:v>Corroborar individualización y gestionar baterías</x:v>
      </x:c>
      <x:c r="P18" s="45" t="str">
        <x:v>Asociación descriptiva por corroborar</x:v>
      </x:c>
    </x:row>
    <x:row r="19" ht="68" customHeight="1">
      <x:c r="A19" s="45" t="n">
        <x:v>183</x:v>
      </x:c>
      <x:c r="B19" s="45" t="str">
        <x:v>PESA GRAMERA</x:v>
      </x:c>
      <x:c r="C19" s="50" t="str">
        <x:v>5513</x:v>
      </x:c>
      <x:c r="D19" s="50" t="str">
        <x:v>8852220000000</x:v>
      </x:c>
      <x:c r="E19" s="45" t="str">
        <x:v>SALA DE PARTOS ALMACÉN DE MEDICAMENTOS</x:v>
      </x:c>
      <x:c r="F19" s="45" t="str">
        <x:v>NO SE ENCONTRO EN EL SERVICIO</x:v>
      </x:c>
      <x:c r="G19" s="50" t="str">
        <x:v>42240</x:v>
      </x:c>
      <x:c r="H19" s="49" t="d">
        <x:v>2026-07-14T00:00:00.000Z</x:v>
      </x:c>
      <x:c r="I19" s="45" t="n">
        <x:v>16</x:v>
      </x:c>
      <x:c r="J19" s="45" t="str">
        <x:v>placa</x:v>
      </x:c>
      <x:c r="K19" s="45" t="str">
        <x:v>Sala de partos / almacén</x:v>
      </x:c>
      <x:c r="L19" s="45" t="str">
        <x:v>Equipo operativo en el servicio</x:v>
      </x:c>
      <x:c r="M19" s="45" t="str">
        <x:v>Operativo explícito sin incidencia pendiente consignada</x:v>
      </x:c>
      <x:c r="N19" s="45" t="str">
        <x:v>Reporte no informa serie; enlace por placa y atributos.</x:v>
      </x:c>
      <x:c r="O19" s="45" t="str">
        <x:v>Actualizar ubicación y trazabilidad</x:v>
      </x:c>
      <x:c r="P19" s="45" t="str">
        <x:v>Ubicación aclarada documentalmente; conservar gestión técnica indicada</x:v>
      </x:c>
    </x:row>
  </x:sheetData>
  <x:mergeCells>
    <x:mergeCell ref="A1:P1"/>
    <x:mergeCell ref="A2:P2"/>
  </x:mergeCells>
  <x:pageMargins left="0.7" right="0.7" top="0.75" bottom="0.75" header="0.3" footer="0.3"/>
  <x:tableParts count="1">
    <x:tablePart xmlns:r="http://schemas.openxmlformats.org/officeDocument/2006/relationships" r:id="Rc831d3929c5d4d91"/>
  </x:tableParts>
</x:worksheet>
</file>

<file path=xl/worksheets/sheet3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0" hidden="0" customWidth="1"/>
    <x:col min="3" max="3" width="44" hidden="0" customWidth="1"/>
  </x:cols>
  <x:sheetData>
    <x:row r="1" ht="28" customHeight="1">
      <x:c r="A1" s="40" t="str">
        <x:v>Certificación y nota aclaratoria</x:v>
      </x:c>
      <x:c r="B1" s="40"/>
      <x:c r="C1" s="40"/>
    </x:row>
    <x:row r="2" ht="32" customHeight="1">
      <x:c r="A2" s="42" t="str">
        <x:v>Contrato de consultoría 0481 de 2026. Actualización documental del 27/10/2026.</x:v>
      </x:c>
      <x:c r="B2" s="42"/>
      <x:c r="C2" s="42"/>
    </x:row>
    <x:row r="4" ht="34" customHeight="1">
      <x:c r="A4" s="48" t="str">
        <x:v>Aspecto</x:v>
      </x:c>
      <x:c r="B4" s="48" t="str">
        <x:v>Nota / tratamiento</x:v>
      </x:c>
      <x:c r="C4" s="48" t="str">
        <x:v>Evidencia / alcance</x:v>
      </x:c>
    </x:row>
    <x:row r="5" ht="48" customHeight="1">
      <x:c r="A5" s="45" t="str">
        <x:v>Documento</x:v>
      </x:c>
      <x:c r="B5" s="45" t="str">
        <x:v>CERTIFICACIÓN EB CAIMI CON REPORTES.pdf</x:v>
      </x:c>
      <x:c r="C5" s="45" t="str">
        <x:v>Certificación pp. 1-2; reportes pp. 3-16</x:v>
      </x:c>
    </x:row>
    <x:row r="6" ht="48" customHeight="1">
      <x:c r="A6" s="45" t="str">
        <x:v>Fecha de certificación</x:v>
      </x:c>
      <x:c r="B6" s="49" t="d">
        <x:v>2026-10-23T00:00:00.000Z</x:v>
      </x:c>
      <x:c r="C6" s="45" t="str">
        <x:v>No modifica el corte financiero de junio 2026</x:v>
      </x:c>
    </x:row>
    <x:row r="7" ht="48" customHeight="1">
      <x:c r="A7" s="45" t="str">
        <x:v>Firmante</x:v>
      </x:c>
      <x:c r="B7" s="45" t="str">
        <x:v>Kelly Catherine Reyes Moreno</x:v>
      </x:c>
      <x:c r="C7" s="45" t="str">
        <x:v>Ingeniera Biomédica</x:v>
      </x:c>
    </x:row>
    <x:row r="8" ht="48" customHeight="1">
      <x:c r="A8" s="45" t="str">
        <x:v>Alcance</x:v>
      </x:c>
      <x:c r="B8" s="45" t="str">
        <x:v>Las anotaciones iniciales de no ubicación se relacionan con disponibilidad, accesibilidad o ubicación diferente durante las visitas. Por sí solas no prueban pérdida física.</x:v>
      </x:c>
      <x:c r="C8" s="45" t="str">
        <x:v>Declaración certificada</x:v>
      </x:c>
    </x:row>
    <x:row r="9" ht="48" customHeight="1">
      <x:c r="A9" s="45" t="str">
        <x:v>Resultado de conciliación</x:v>
      </x:c>
      <x:c r="B9" s="45" t="str">
        <x:v>15 registros inicialmente no ubicados; 14 reportes: 10 por placa, 2 por serie y 2 asociaciones descriptivas. Un registro carece de reporte individual en el archivo.</x:v>
      </x:c>
      <x:c r="C9" s="45" t="str">
        <x:v>Detalle en hojas 32 y 33</x:v>
      </x:c>
    </x:row>
    <x:row r="10" ht="48" customHeight="1">
      <x:c r="A10" s="45" t="str">
        <x:v>Individualización pendiente</x:v>
      </x:c>
      <x:c r="B10" s="45" t="str">
        <x:v>Báscula de piso BADECOL, placa 8631, serie 25689-334: no se identifica reporte individual dentro de la certificación. No es prueba de pérdida.</x:v>
      </x:c>
      <x:c r="C10" s="45" t="str">
        <x:v>Inventario ítem 177, p. 8</x:v>
      </x:c>
    </x:row>
    <x:row r="11" ht="48" customHeight="1">
      <x:c r="A11" s="45" t="str">
        <x:v>Asociaciones descriptivas</x:v>
      </x:c>
      <x:c r="B11" s="45" t="str">
        <x:v>Fonendoscopio y lápiz halógeno, sin placa/serie en el inventario: se conservan como asociaciones por corroborar.</x:v>
      </x:c>
      <x:c r="C11" s="45" t="str">
        <x:v>Ítems 181 y 182; reportes 42238 y 42239</x:v>
      </x:c>
    </x:row>
    <x:row r="12" ht="48" customHeight="1">
      <x:c r="A12" s="45" t="str">
        <x:v>Condición funcional</x:v>
      </x:c>
      <x:c r="B12" s="45" t="str">
        <x:v>Se conservan las condiciones de operatividad, observaciones, fuera de servicio e intervención en proceso según cada reporte. Localización no equivale a operatividad.</x:v>
      </x:c>
      <x:c r="C12" s="45" t="str">
        <x:v>Fechas 09/07, 14/07, 03/08 y 08/10/2026</x:v>
      </x:c>
    </x:row>
    <x:row r="13" ht="48" customHeight="1">
      <x:c r="A13" s="45" t="str">
        <x:v>Identidad por conciliar</x:v>
      </x:c>
      <x:c r="B13" s="45" t="str">
        <x:v>Placa 3404: diferencia en un cero de la serie manuscrita. Serie 503352 aparece en ítems 85 y 88 del inventario base.</x:v>
      </x:c>
      <x:c r="C13" s="45" t="str">
        <x:v>Conservar fuentes; corroborar antes de deduplicar activos</x:v>
      </x:c>
    </x:row>
    <x:row r="14" ht="48" customHeight="1">
      <x:c r="A14" s="45" t="str">
        <x:v>Tratamiento financiero</x:v>
      </x:c>
      <x:c r="B14" s="45" t="str">
        <x:v>La certificación no modifica automáticamente depreciación, costo histórico, valor en libros, propiedad ni CAPEX. Reparación, reposición y baja recomendada son gestiones institucionales.</x:v>
      </x:c>
      <x:c r="C14" s="45" t="str">
        <x:v>No se presume baja ejecutada ni ahorro realizado</x:v>
      </x:c>
    </x:row>
    <x:row r="15" ht="48" customHeight="1">
      <x:c r="A15" s="45" t="str">
        <x:v>Disponibilidad tecnológica</x:v>
      </x:c>
      <x:c r="B15" s="45" t="str">
        <x:v>El 95% es una meta del estudio. El expediente no aporta un periodo uniforme de medición de disponibilidad, horas requeridas ni horas fuera de servicio.</x:v>
      </x:c>
      <x:c r="C15" s="45" t="str">
        <x:v>Indicador observado no determinado</x:v>
      </x:c>
    </x:row>
    <x:row r="16" ht="48" customHeight="1">
      <x:c r="A16" s="45" t="str">
        <x:v>Cierre documental</x:v>
      </x:c>
      <x:c r="B16" s="45" t="str">
        <x:v>Se incorpora evidencia y se precisan reservas por registro. La entrega técnica queda sujeta a verificación del supervisor; no equivale a recibo a satisfacción, liquidación ni pago.</x:v>
      </x:c>
      <x:c r="C16" s="45" t="str">
        <x:v>Sin actos ni aprobaciones inferidos</x:v>
      </x:c>
    </x:row>
    <x:row r="17" ht="48" customHeight="1">
      <x:c r="A17" s="45" t="str">
        <x:v>Corrección 217 → 194</x:v>
      </x:c>
      <x:c r="B17" s="45" t="str">
        <x:v>El resumen anterior de 217 era un valor fijo sin vínculo al detalle. El inventario institucional contiene 194 filas numeradas. No se acredita una causa de filtro/captura.</x:v>
      </x:c>
      <x:c r="C17" s="45" t="str">
        <x:v>30_Consistencia_entregables!B7, base anterior</x:v>
      </x:c>
    </x:row>
    <x:row r="18" ht="48" customHeight="1">
      <x:c r="A18" s="45" t="str">
        <x:v>Corrección 13 → 15</x:v>
      </x:c>
      <x:c r="B18" s="45" t="str">
        <x:v>El resumen anterior de 13 no ubicados no tenía fórmula ni detalle individual. El cotejo del texto fuente identifica 15 registros inicialmente no ubicados.</x:v>
      </x:c>
      <x:c r="C18" s="45" t="str">
        <x:v>18_Equipos_biomedicos!B9, base anterior</x:v>
      </x:c>
    </x:row>
    <x:row r="19" ht="48" customHeight="1">
      <x:c r="A19" s="45" t="str">
        <x:v>Clasificación trazable</x:v>
      </x:c>
      <x:c r="B19" s="45" t="str">
        <x:v>El residual anterior de 41 sin clasificar se sustituye por clasificación individual de 194 observaciones. La certificación no resuelve automáticamente ese grupo residual.</x:v>
      </x:c>
      <x:c r="C19" s="45" t="str">
        <x:v>Reglas de clasificación en detalle y resumen</x:v>
      </x:c>
    </x:row>
    <x:row r="20" ht="48" customHeight="1">
      <x:c r="A20" s="45" t="str">
        <x:v>Unidad de conteo</x:v>
      </x:c>
      <x:c r="B20" s="45" t="str">
        <x:v>Se cuentan registros de inventario. La serie duplicada y los registros sin identificador impiden afirmar 194 activos únicos acreditados.</x:v>
      </x:c>
      <x:c r="C20" s="45" t="str">
        <x:v>No se eliminan ni fusionan filas fuente</x:v>
      </x:c>
    </x:row>
    <x:row r="21" ht="48" customHeight="1">
      <x:c r="A21" s="45" t="str">
        <x:v>Fuente inventario</x:v>
      </x:c>
      <x:c r="B21" s="45" t="str">
        <x:v>INVENTARIO DE EQUIPOS BIOMÉDICOS SEDE CAIMI .pdf</x:v>
      </x:c>
      <x:c r="C21" s="45" t="str">
        <x:v>9 páginas; 194 registros</x:v>
      </x:c>
    </x:row>
    <x:row r="22" ht="48" customHeight="1">
      <x:c r="A22" s="45" t="str">
        <x:v>Fuente de clasificación</x:v>
      </x:c>
      <x:c r="B22" s="45" t="str">
        <x:v>Clasificación analítica del texto original y los 14 reportes. Se separan incidencias pendientes, traslados y asociaciones sin identificador.</x:v>
      </x:c>
      <x:c r="C22" s="45" t="str">
        <x:v>Consolidación documental reproducible</x:v>
      </x:c>
    </x:row>
  </x:sheetData>
  <x:mergeCells>
    <x:mergeCell ref="A1:C1"/>
    <x:mergeCell ref="A2:C2"/>
  </x:mergeCells>
  <x:pageMargins left="0.7" right="0.7" top="0.75" bottom="0.75" header="0.3" footer="0.3"/>
  <x:tableParts count="1">
    <x:tablePart xmlns:r="http://schemas.openxmlformats.org/officeDocument/2006/relationships" r:id="R0dec7f7e4f7f4bc4"/>
  </x:tableParts>
</x:worksheet>
</file>