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eec5effd084c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esumen_control" sheetId="1" r:id="Rec53e36c0194434b"/>
    <x:sheet xmlns:r="http://schemas.openxmlformats.org/officeDocument/2006/relationships" name="02_Cumplimiento_contrato" sheetId="2" r:id="Rb78ccc98cecb4869"/>
    <x:sheet xmlns:r="http://schemas.openxmlformats.org/officeDocument/2006/relationships" name="03_Consistencia_cifras" sheetId="3" r:id="R2402f5b2935449f1"/>
    <x:sheet xmlns:r="http://schemas.openxmlformats.org/officeDocument/2006/relationships" name="04_Fuentes_evidencia" sheetId="4" r:id="R6df093e4313847f1"/>
    <x:sheet xmlns:r="http://schemas.openxmlformats.org/officeDocument/2006/relationships" name="05_Mapa_presentacion" sheetId="5" r:id="R77dc795bfd3646b8"/>
    <x:sheet xmlns:r="http://schemas.openxmlformats.org/officeDocument/2006/relationships" name="06_Control_riesgos" sheetId="6" r:id="Reefab680e7c4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"/>
    <x:numFmt numFmtId="202" formatCode="#,##0.00;(#,##0.00);&quot;-&quot;"/>
    <x:numFmt numFmtId="203" formatCode="0.0000"/>
    <x:numFmt numFmtId="204" formatCode="0%"/>
  </x:numFmts>
  <x:fonts count="11">
    <x:font>
      <x:sz val="11"/>
      <x:name val="Carlito"/>
    </x:font>
    <x:font>
      <x:b/>
      <x:sz val="16"/>
      <x:color rgb="FFFFFFFF"/>
      <x:name val="Arial"/>
      <x:family val="2"/>
    </x:font>
    <x:font>
      <x:sz val="11"/>
      <x:name val="Arial"/>
      <x:family val="2"/>
    </x:font>
    <x:font>
      <x:sz val="10"/>
      <x:color rgb="FF3C444C"/>
      <x:name val="Arial"/>
      <x:family val="2"/>
    </x:font>
    <x:font>
      <x:b/>
      <x:sz val="11"/>
      <x:color rgb="FFFFFFFF"/>
      <x:name val="Arial"/>
      <x:family val="2"/>
    </x:font>
    <x:font>
      <x:b/>
      <x:sz val="16"/>
      <x:color rgb="FF17365D"/>
      <x:name val="Carlito"/>
      <x:family val="2"/>
    </x:font>
    <x:font>
      <x:sz val="11"/>
      <x:color rgb="FF595959"/>
      <x:name val="Carlito"/>
      <x:family val="2"/>
    </x:font>
    <x:font>
      <x:b/>
      <x:sz val="11"/>
      <x:color rgb="FF242424"/>
      <x:name val="Carlito"/>
      <x:family val="2"/>
    </x:font>
    <x:font>
      <x:sz val="11"/>
      <x:color rgb="FF242424"/>
      <x:name val="Carlito"/>
      <x:family val="2"/>
    </x:font>
    <x:font>
      <x:b/>
      <x:sz val="11"/>
      <x:color rgb="FFFFFFFF"/>
      <x:name val="Carlito"/>
      <x:family val="2"/>
    </x:font>
    <x:font>
      <x:sz val="10"/>
      <x:color rgb="FF595959"/>
      <x:name val="Carlito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B3A5E"/>
      </x:patternFill>
    </x:fill>
    <x:fill>
      <x:patternFill patternType="solid">
        <x:fgColor rgb="FFF4F8FB"/>
      </x:patternFill>
    </x:fill>
    <x:fill>
      <x:patternFill patternType="solid">
        <x:fgColor rgb="FF166088"/>
      </x:patternFill>
    </x:fill>
    <x:fill>
      <x:patternFill patternType="solid">
        <x:fgColor rgb="FF166088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0" xfId="0"/>
    <x:xf numFmtId="0" fontId="4" fillId="4" borderId="0" xfId="0" applyAlignment="1">
      <x:alignment horizontal="center" vertical="center" wrapText="1"/>
    </x:xf>
    <x:xf numFmtId="0" fontId="2" fillId="0" borderId="0" xfId="0" applyAlignment="1">
      <x:alignment vertical="top" wrapText="1"/>
    </x:xf>
    <x:xf numFmtId="0" fontId="1" fillId="2" borderId="0" xfId="0" applyAlignment="1">
      <x:alignment horizontal="left" vertical="center"/>
    </x:xf>
    <x:xf numFmtId="0" fontId="2" fillId="0" borderId="0" xfId="0"/>
    <x:xf numFmtId="0" fontId="3" fillId="3" borderId="0" xfId="0" applyAlignment="1">
      <x:alignment horizontal="left"/>
    </x:xf>
    <x:xf numFmtId="0" fontId="4" fillId="4" borderId="0" xfId="0" applyAlignment="1">
      <x:alignment horizontal="left" vertical="center" wrapText="1"/>
    </x:xf>
    <x:xf numFmtId="0" fontId="2" fillId="0" borderId="0" xfId="0" applyAlignment="1">
      <x:alignment horizontal="left" vertical="top" wrapText="1"/>
    </x:xf>
    <x:xf numFmtId="0" fontId="2" fillId="0" borderId="0" xfId="0" applyAlignment="1">
      <x:alignment horizontal="left"/>
    </x:xf>
    <x:xf numFmtId="0" fontId="2" fillId="0" borderId="0" xfId="0" applyAlignment="1">
      <x:alignment horizontal="center" vertical="top" wrapText="1"/>
    </x:xf>
    <x:xf numFmtId="0" fontId="2" fillId="0" borderId="0" xfId="0" applyAlignment="1">
      <x:alignment horizontal="center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200" fontId="8" fillId="0" borderId="0" xfId="0" applyNumberFormat="1" applyFont="1" applyFill="1" applyBorder="1" applyAlignment="1">
      <x:alignment horizontal="left" vertical="center" wrapText="1"/>
    </x:xf>
    <x:xf numFmtId="201" fontId="8" fillId="0" borderId="0" xfId="0" applyNumberFormat="1" applyFont="1" applyFill="1" applyBorder="1" applyAlignment="1">
      <x:alignment horizontal="left" vertical="center" wrapText="1"/>
    </x:xf>
    <x:xf numFmtId="202" fontId="8" fillId="0" borderId="0" xfId="0" applyNumberFormat="1" applyFont="1" applyFill="1" applyBorder="1" applyAlignment="1">
      <x:alignment horizontal="left" vertical="center" wrapText="1"/>
    </x:xf>
    <x:xf numFmtId="0" fontId="2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202" fontId="8" fillId="0" borderId="0" xfId="0" applyNumberFormat="1" applyFont="1" applyFill="1" applyBorder="1" applyAlignment="1">
      <x:alignment horizontal="center" vertical="center" wrapText="1"/>
    </x:xf>
    <x:xf numFmtId="201" fontId="8" fillId="0" borderId="0" xfId="0" applyNumberFormat="1" applyFont="1" applyFill="1" applyBorder="1" applyAlignment="1">
      <x:alignment horizontal="center" vertical="center" wrapText="1"/>
    </x:xf>
    <x:xf numFmtId="203" fontId="8" fillId="0" borderId="0" xfId="0" applyNumberFormat="1" applyFont="1" applyFill="1" applyBorder="1" applyAlignment="1">
      <x:alignment horizontal="center" vertical="center" wrapText="1"/>
    </x:xf>
    <x:xf numFmtId="204" fontId="8" fillId="0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 applyAlignment="1">
      <x:alignment horizontal="left" wrapText="1"/>
    </x:xf>
  </x:cellXfs>
  <x:cellStyles count="1">
    <x:cellStyle name="Normal" xfId="0"/>
  </x:cellStyles>
  <x:dxfs count="47"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  <x:dxf>
      <x:font>
        <x:name val="Arial"/>
        <x:family val="2"/>
      </x:font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f7d3f933714e62" /><Relationship Type="http://schemas.openxmlformats.org/officeDocument/2006/relationships/theme" Target="/xl/theme/theme1.xml" Id="Rde400fd3e1274a25" /><Relationship Type="http://schemas.openxmlformats.org/officeDocument/2006/relationships/sharedStrings" Target="/xl/sharedStrings.xml" Id="R4bc76ce87b6f4479" /><Relationship Type="http://schemas.openxmlformats.org/officeDocument/2006/relationships/worksheet" Target="/xl/worksheets/sheet1.xml" Id="Rec53e36c0194434b" /><Relationship Type="http://schemas.openxmlformats.org/officeDocument/2006/relationships/worksheet" Target="/xl/worksheets/sheet2.xml" Id="Rb78ccc98cecb4869" /><Relationship Type="http://schemas.openxmlformats.org/officeDocument/2006/relationships/worksheet" Target="/xl/worksheets/sheet3.xml" Id="R2402f5b2935449f1" /><Relationship Type="http://schemas.openxmlformats.org/officeDocument/2006/relationships/worksheet" Target="/xl/worksheets/sheet4.xml" Id="R6df093e4313847f1" /><Relationship Type="http://schemas.openxmlformats.org/officeDocument/2006/relationships/worksheet" Target="/xl/worksheets/sheet5.xml" Id="R77dc795bfd3646b8" /><Relationship Type="http://schemas.openxmlformats.org/officeDocument/2006/relationships/worksheet" Target="/xl/worksheets/sheet6.xml" Id="Reefab680e7c4467d" /></Relationships>
</file>

<file path=xl/tables/table1.xml><?xml version="1.0" encoding="utf-8"?>
<x:table xmlns:x="http://schemas.openxmlformats.org/spreadsheetml/2006/main" id="7" name="T01" displayName="T01" ref="A4:C24" headerRowCount="1" totalsRowCount="0" totalsRowShown="0">
  <x:autoFilter ref="A4:C24"/>
  <x:tableColumns count="3">
    <x:tableColumn id="1" name="Elemento"/>
    <x:tableColumn id="2" name="Valor / archivo"/>
    <x:tableColumn id="3" name="Estado / alc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8" name="T02" displayName="T02" ref="A4:H13" headerRowCount="1" totalsRowCount="0" totalsRowShown="0">
  <x:autoFilter ref="A4:H13"/>
  <x:tableColumns count="8">
    <x:tableColumn id="1" name="Grupo"/>
    <x:tableColumn id="2" name="Actividad agrupada / soporte"/>
    <x:tableColumn id="3" name="Evidencia incorporada"/>
    <x:tableColumn id="4" name="Informe / página"/>
    <x:tableColumn id="5" name="Diapositivas reales"/>
    <x:tableColumn id="6" name="Anexo: hoja y rango"/>
    <x:tableColumn id="7" name="Módulo web"/>
    <x:tableColumn id="8" name="Estado document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9" name="T03" displayName="T03" ref="A4:H37" headerRowCount="1" totalsRowCount="0" totalsRowShown="0">
  <x:autoFilter ref="A4:H37"/>
  <x:tableColumns count="8">
    <x:tableColumn id="1" name="Dato crítico"/>
    <x:tableColumn id="2" name="Valor final"/>
    <x:tableColumn id="3" name="Unidad / alcance"/>
    <x:tableColumn id="4" name="Informe / página"/>
    <x:tableColumn id="5" name="Diapositivas reales"/>
    <x:tableColumn id="6" name="Anexo: hoja y rango"/>
    <x:tableColumn id="7" name="Módulo web"/>
    <x:tableColumn id="8" name="Control / 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0" name="T04" displayName="T04" ref="A4:H20" headerRowCount="1" totalsRowCount="0" totalsRowShown="0">
  <x:autoFilter ref="A4:H20"/>
  <x:tableColumns count="8">
    <x:tableColumn id="1" name="Bloque"/>
    <x:tableColumn id="2" name="Fuente / localización"/>
    <x:tableColumn id="3" name="Evidencia derivada"/>
    <x:tableColumn id="4" name="Informe / página"/>
    <x:tableColumn id="5" name="Diapositivas reales"/>
    <x:tableColumn id="6" name="Anexo: hoja y rango"/>
    <x:tableColumn id="7" name="Módulo web"/>
    <x:tableColumn id="8" name="Limitación / contro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1" name="T05" displayName="T05" ref="A4:G34" headerRowCount="1" totalsRowCount="0" totalsRowShown="0">
  <x:autoFilter ref="A4:G34"/>
  <x:tableColumns count="7">
    <x:tableColumn id="1" name="Lámina"/>
    <x:tableColumn id="2" name="Título final"/>
    <x:tableColumn id="3" name="Tema / mensaje"/>
    <x:tableColumn id="4" name="Informe / página"/>
    <x:tableColumn id="5" name="Anexo: hoja y rango"/>
    <x:tableColumn id="6" name="Módulo web"/>
    <x:tableColumn id="7" name="Control de actualizació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2" name="T06" displayName="T06" ref="A4:J13" headerRowCount="1" totalsRowCount="0" totalsRowShown="0">
  <x:autoFilter ref="A4:J13"/>
  <x:tableColumns count="10">
    <x:tableColumn id="1" name="Riesgo"/>
    <x:tableColumn id="2" name="Impacto"/>
    <x:tableColumn id="3" name="Mitigación / control"/>
    <x:tableColumn id="4" name="Responsable sugerido"/>
    <x:tableColumn id="5" name="Indicador / seguimiento"/>
    <x:tableColumn id="6" name="Informe / página"/>
    <x:tableColumn id="7" name="Diapositivas"/>
    <x:tableColumn id="8" name="Anexo: hoja / rango"/>
    <x:tableColumn id="9" name="Módulo web"/>
    <x:tableColumn id="10" name="Estado / lími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36486911344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3a5c80ebb142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b7fd4a945842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500d24c8c7f46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f46b72a0f884a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6ceaa380c514e3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47" style="5" hidden="0" customWidth="1"/>
    <x:col min="2" max="2" width="86" style="5" hidden="0" customWidth="1"/>
    <x:col min="3" max="3" width="92" style="5" hidden="0" customWidth="1"/>
    <x:col min="4" max="16384" width="9" style="5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Actualización del 27/10/2026. La certificación complementa evidencia y conserva reservas técnicas y contractuales.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Elemento</x:v>
      </x:c>
      <x:c r="B4" s="26" t="str">
        <x:v>Valor / archivo</x:v>
      </x:c>
      <x:c r="C4" s="26" t="str">
        <x:v>Estado / alcance</x:v>
      </x:c>
    </x:row>
    <x:row r="5" ht="40" customHeight="1">
      <x:c r="A5" s="22" t="str">
        <x:v>Informe actualizado</x:v>
      </x:c>
      <x:c r="B5" s="22" t="str">
        <x:v>Informe_Final_Consultoria_CAIMI_ESE_CEO.pdf</x:v>
      </x:c>
      <x:c r="C5" s="22" t="str">
        <x:v>Versión documental con reservas individualizadas</x:v>
      </x:c>
    </x:row>
    <x:row r="6" ht="40" customHeight="1">
      <x:c r="A6" s="22" t="str">
        <x:v>Presentación ejecutiva</x:v>
      </x:c>
      <x:c r="B6" s="22" t="str">
        <x:v>Presentacion_Ejecutiva_CAIMI_ESE_CEO.pdf</x:v>
      </x:c>
      <x:c r="C6" s="22" t="str">
        <x:v>30 láminas; mapa real en hoja 05</x:v>
      </x:c>
    </x:row>
    <x:row r="7" ht="40" customHeight="1">
      <x:c r="A7" s="22" t="str">
        <x:v>Anexos actualizados</x:v>
      </x:c>
      <x:c r="B7" s="22" t="str">
        <x:v>Anexos_Modelo_Integral_CAIMI_ESE_CEO.xlsx</x:v>
      </x:c>
      <x:c r="C7" s="22" t="str">
        <x:v>34 hojas; detalle y conciliación biomédica incluidos</x:v>
      </x:c>
    </x:row>
    <x:row r="8" ht="40" customHeight="1">
      <x:c r="A8" s="22" t="str">
        <x:v>Aplicativo actualizado</x:v>
      </x:c>
      <x:c r="B8" s="22" t="str">
        <x:v>Tablero_Estrategico_CAIMI.zip</x:v>
      </x:c>
      <x:c r="C8" s="22" t="str">
        <x:v>Mismos universos, notas y cifras; documentos actualizados</x:v>
      </x:c>
    </x:row>
    <x:row r="9" ht="40" customHeight="1">
      <x:c r="A9" s="22" t="str">
        <x:v>Fecha de actualización</x:v>
      </x:c>
      <x:c r="B9" s="27" t="d">
        <x:v>2026-10-27T00:00:00.000Z</x:v>
      </x:c>
      <x:c r="C9" s="22" t="str">
        <x:v>Certificación del 23/10/2026; corte financiero 30/06/2026</x:v>
      </x:c>
    </x:row>
    <x:row r="10" ht="40" customHeight="1">
      <x:c r="A10" s="22" t="str">
        <x:v>Extensión del informe</x:v>
      </x:c>
      <x:c r="B10" s="22" t="n">
        <x:v>50</x:v>
      </x:c>
      <x:c r="C10" s="22" t="str">
        <x:v>Páginas físicas del PDF; mismo número del pie</x:v>
      </x:c>
    </x:row>
    <x:row r="11" ht="40" customHeight="1">
      <x:c r="A11" s="22" t="str">
        <x:v>Láminas de presentación</x:v>
      </x:c>
      <x:c r="B11" s="22" t="n">
        <x:f>COUNTA('05_Mapa_presentacion'!A5:A34)</x:f>
        <x:v>30</x:v>
      </x:c>
      <x:c r="C11" s="22" t="str">
        <x:v>Calculado desde el mapa real de hoja 05</x:v>
      </x:c>
    </x:row>
    <x:row r="12" ht="40" customHeight="1">
      <x:c r="A12" s="23" t="str">
        <x:v>Pacientes reportados por periodo</x:v>
      </x:c>
      <x:c r="B12" s="28" t="n">
        <x:v>97583</x:v>
      </x:c>
      <x:c r="C12" s="23" t="str">
        <x:v>Suma multiperiodo; no usuarios únicos globales</x:v>
      </x:c>
    </x:row>
    <x:row r="13" ht="40" customHeight="1">
      <x:c r="A13" s="23" t="str">
        <x:v>Registros de producción</x:v>
      </x:c>
      <x:c r="B13" s="28" t="n">
        <x:v>730301</x:v>
      </x:c>
      <x:c r="C13" s="23" t="str">
        <x:v>Base completa ITEN3; unidad distinta de diagnósticos RIPS</x:v>
      </x:c>
    </x:row>
    <x:row r="14" ht="40" customHeight="1">
      <x:c r="A14" s="23" t="str">
        <x:v>Usuarios únicos en base RIPS</x:v>
      </x:c>
      <x:c r="B14" s="28" t="n">
        <x:v>68318</x:v>
      </x:c>
      <x:c r="C14" s="23" t="str">
        <x:v>Alcance global de la base; los subgrupos se superponen</x:v>
      </x:c>
    </x:row>
    <x:row r="15" ht="40" customHeight="1">
      <x:c r="A15" s="23" t="str">
        <x:v>Diagnósticos principales/egreso</x:v>
      </x:c>
      <x:c r="B15" s="28" t="n">
        <x:v>371987</x:v>
      </x:c>
      <x:c r="C15" s="23" t="str">
        <x:v>Mismo alcance en informe y presentación PDF, anexos y RIPS web</x:v>
      </x:c>
    </x:row>
    <x:row r="16" ht="40" customHeight="1">
      <x:c r="A16" s="23" t="str">
        <x:v>Registros de inventario</x:v>
      </x:c>
      <x:c r="B16" s="28" t="n">
        <x:v>194</x:v>
      </x:c>
      <x:c r="C16" s="23" t="str">
        <x:v>Registros; no activos únicos acreditados</x:v>
      </x:c>
    </x:row>
    <x:row r="17" ht="40" customHeight="1">
      <x:c r="A17" s="23" t="str">
        <x:v>Anotaciones iniciales no ubicadas</x:v>
      </x:c>
      <x:c r="B17" s="28" t="n">
        <x:v>15</x:v>
      </x:c>
      <x:c r="C17" s="23" t="str">
        <x:v>14 reportes: 12 vínculos por clave y 2 asociaciones descriptivas</x:v>
      </x:c>
    </x:row>
    <x:row r="18" ht="40" customHeight="1">
      <x:c r="A18" s="23" t="str">
        <x:v>Sin reporte individual</x:v>
      </x:c>
      <x:c r="B18" s="28" t="n">
        <x:v>1</x:v>
      </x:c>
      <x:c r="C18" s="23" t="str">
        <x:v>Báscula BADECOL, placa 8631, serie 25689-334; no prueba de pérdida</x:v>
      </x:c>
    </x:row>
    <x:row r="19" ht="40" customHeight="1">
      <x:c r="A19" s="23" t="str">
        <x:v>Costo CAIMI 2025, COP</x:v>
      </x:c>
      <x:c r="B19" s="29" t="n">
        <x:v>9828115932.47</x:v>
      </x:c>
      <x:c r="C19" s="23" t="str">
        <x:v>Valor oficial preservado</x:v>
      </x:c>
    </x:row>
    <x:row r="20" ht="40" customHeight="1">
      <x:c r="A20" s="23" t="str">
        <x:v>Costo CAIMI I semestre 2026, COP</x:v>
      </x:c>
      <x:c r="B20" s="29" t="n">
        <x:v>5250296535.41</x:v>
      </x:c>
      <x:c r="C20" s="23" t="str">
        <x:v>Valor oficial preservado; diferencia interna documentada</x:v>
      </x:c>
    </x:row>
    <x:row r="21" ht="40" customHeight="1">
      <x:c r="A21" s="23" t="str">
        <x:v>Resultado facturación menos costo 2026, COP</x:v>
      </x:c>
      <x:c r="B21" s="29" t="n">
        <x:v>-520093638.41</x:v>
      </x:c>
      <x:c r="C21" s="23" t="str">
        <x:v>No equivale a utilidad neta ni flujo de caja</x:v>
      </x:c>
    </x:row>
    <x:row r="22" ht="40" customHeight="1">
      <x:c r="A22" s="23" t="str">
        <x:v>Mayor puntaje bajo pesos uniformes</x:v>
      </x:c>
      <x:c r="B22" s="22" t="str">
        <x:v>Continuidad optimizada: 3,8875/5</x:v>
      </x:c>
      <x:c r="C22" s="23" t="str">
        <x:v>Ocho criterios; 12,5% cada uno, supuesto técnico explícito</x:v>
      </x:c>
    </x:row>
    <x:row r="23" ht="40" customHeight="1">
      <x:c r="A23" s="23" t="str">
        <x:v>Recomendación estratégica del estudio</x:v>
      </x:c>
      <x:c r="B23" s="22" t="str">
        <x:v>Tercerización condicionada</x:v>
      </x:c>
      <x:c r="C23" s="23" t="str">
        <x:v>No es aprobación institucional ni superioridad demostrada por el cálculo uniforme</x:v>
      </x:c>
    </x:row>
    <x:row r="24" ht="40" customHeight="1">
      <x:c r="A24" s="23" t="str">
        <x:v>Alcance del cierre</x:v>
      </x:c>
      <x:c r="B24" s="22" t="str">
        <x:v>Actualización documental de la consultoría</x:v>
      </x:c>
      <x:c r="C24" s="23" t="str">
        <x:v>No equivale a recibo a satisfacción, liquidación ni pago</x:v>
      </x:c>
    </x:row>
    <x:row r="27" ht="30" customHeight="1">
      <x:c r="A27" s="33" t="str">
        <x:v>La comparación uniforme de ocho criterios otorga una ligera ventaja a la continuidad optimizada (3,8875/5 frente a 3,8625/5). La tercerización se conserva como recomendación estratégica condicionada del estudio; esta comparación no demuestra su superioridad y exige verificar salvaguardas, costos y capacidad de implementación.</x:v>
      </x:c>
      <x:c r="B27" s="33"/>
      <x:c r="C27" s="33"/>
    </x:row>
    <x:row r="28" ht="30" customHeight="1">
      <x:c r="A28" s="33"/>
      <x:c r="B28" s="33"/>
      <x:c r="C28" s="33"/>
    </x:row>
    <x:row r="29" ht="30" customHeight="1">
      <x:c r="A29" s="33"/>
      <x:c r="B29" s="33"/>
      <x:c r="C29" s="33"/>
    </x:row>
  </x:sheetData>
  <x:mergeCells>
    <x:mergeCell ref="A2:H2"/>
    <x:mergeCell ref="A1:H1"/>
    <x:mergeCell ref="A27:C29"/>
  </x:mergeCells>
  <x:pageMargins left="0.7" right="0.7" top="0.75" bottom="0.75" header="0.3" footer="0.3"/>
  <x:tableParts count="1">
    <x:tablePart xmlns:r="http://schemas.openxmlformats.org/officeDocument/2006/relationships" r:id="Rc9636486911344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9" style="5" hidden="0" customWidth="1"/>
    <x:col min="2" max="2" width="48" style="5" hidden="0" customWidth="1"/>
    <x:col min="3" max="3" width="62" style="5" hidden="0" customWidth="1"/>
    <x:col min="4" max="4" width="42" style="5" hidden="0" customWidth="1"/>
    <x:col min="5" max="5" width="20" style="5" hidden="0" customWidth="1"/>
    <x:col min="6" max="6" width="76" style="5" hidden="0" customWidth="1"/>
    <x:col min="7" max="16384" width="9" style="5" customWidth="1"/>
    <x:col min="7" max="7" width="34" hidden="0" customWidth="1"/>
    <x:col min="8" max="8" width="55" hidden="0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Ocho agrupaciones temáticas del contrato; no son sus doce obligaciones literales. La certificación es soporte complementario, sujeto a verificación de supervisión.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Grupo</x:v>
      </x:c>
      <x:c r="B4" s="26" t="str">
        <x:v>Actividad agrupada / soporte</x:v>
      </x:c>
      <x:c r="C4" s="26" t="str">
        <x:v>Evidencia incorporada</x:v>
      </x:c>
      <x:c r="D4" s="26" t="str">
        <x:v>Informe / página</x:v>
      </x:c>
      <x:c r="E4" s="26" t="str">
        <x:v>Diapositivas reales</x:v>
      </x:c>
      <x:c r="F4" s="26" t="str">
        <x:v>Anexo: hoja y rango</x:v>
      </x:c>
      <x:c r="G4" s="26" t="str">
        <x:v>Módulo web</x:v>
      </x:c>
      <x:c r="H4" s="26" t="str">
        <x:v>Estado documental</x:v>
      </x:c>
    </x:row>
    <x:row r="5" ht="44" customHeight="1">
      <x:c r="A5" s="22" t="n">
        <x:v>1</x:v>
      </x:c>
      <x:c r="B5" s="22" t="str">
        <x:v>Reunión de inicio, plan de trabajo y matriz de información</x:v>
      </x:c>
      <x:c r="C5" s="22" t="str">
        <x:v>Alcance, metodología y matriz de fuentes; actas de reunión sujetas a revisión documental</x:v>
      </x:c>
      <x:c r="D5" s="23" t="str">
        <x:v>Caps. 1–2, pp. 8–9</x:v>
      </x:c>
      <x:c r="E5" s="23" t="str">
        <x:v>4–5</x:v>
      </x:c>
      <x:c r="F5" s="23" t="str">
        <x:v>04_Fuentes_trazabilidad!A4:F15; 26_Cumplimiento_contrato!A4:D13</x:v>
      </x:c>
      <x:c r="G5" s="23" t="str">
        <x:v>Documentos / Metodología</x:v>
      </x:c>
      <x:c r="H5" s="23" t="str">
        <x:v>Verificación documental de supervisión</x:v>
      </x:c>
    </x:row>
    <x:row r="6" ht="44" customHeight="1">
      <x:c r="A6" s="22" t="n">
        <x:v>2</x:v>
      </x:c>
      <x:c r="B6" s="22" t="str">
        <x:v>Revisión técnica, financiera, operativa, asistencial y administrativa</x:v>
      </x:c>
      <x:c r="C6" s="22" t="str">
        <x:v>Matriz de fuentes, calidad de datos y limitaciones</x:v>
      </x:c>
      <x:c r="D6" s="23" t="str">
        <x:v>Caps. 3–4, pp. 10–12</x:v>
      </x:c>
      <x:c r="E6" s="23" t="str">
        <x:v>5–6</x:v>
      </x:c>
      <x:c r="F6" s="23" t="str">
        <x:v>04_Fuentes_trazabilidad!A4:F15; 06_Calidad_datos!A4:D9</x:v>
      </x:c>
      <x:c r="G6" s="23" t="str">
        <x:v>Datos / Metodología</x:v>
      </x:c>
      <x:c r="H6" s="23" t="str">
        <x:v>Producto incorporado; verificación de supervisión</x:v>
      </x:c>
    </x:row>
    <x:row r="7" ht="44" customHeight="1">
      <x:c r="A7" s="22" t="n">
        <x:v>3</x:v>
      </x:c>
      <x:c r="B7" s="22" t="str">
        <x:v>Diagnóstico integral del CAIMI</x:v>
      </x:c>
      <x:c r="C7" s="22" t="str">
        <x:v>Diagnóstico asistencial, financiero, operativo y de costos</x:v>
      </x:c>
      <x:c r="D7" s="23" t="str">
        <x:v>Caps. 6–23, pp. 13–33</x:v>
      </x:c>
      <x:c r="E7" s="23" t="str">
        <x:v>7–21</x:v>
      </x:c>
      <x:c r="F7" s="23" t="str">
        <x:v>07_Pacientes a 19_Talento_ausentismo; 31_Conciliacion_Costos!A4:F8</x:v>
      </x:c>
      <x:c r="G7" s="23" t="str">
        <x:v>Demanda / Producción / RIPS / Inventario / Finanzas / Costos</x:v>
      </x:c>
      <x:c r="H7" s="23" t="str">
        <x:v>Producto incorporado; verificación de supervisión</x:v>
      </x:c>
    </x:row>
    <x:row r="8" ht="44" customHeight="1">
      <x:c r="A8" s="22" t="n">
        <x:v>4</x:v>
      </x:c>
      <x:c r="B8" s="22" t="str">
        <x:v>Capacidad instalada, oferta, demanda, producción, costos, facturación y talento</x:v>
      </x:c>
      <x:c r="C8" s="22" t="str">
        <x:v>Cuadros y gráficos con alcance por periodo; costos oficiales preservados</x:v>
      </x:c>
      <x:c r="D8" s="23" t="str">
        <x:v>Caps. 6–22, pp. 13–31</x:v>
      </x:c>
      <x:c r="E8" s="23" t="str">
        <x:v>7–21</x:v>
      </x:c>
      <x:c r="F8" s="23" t="str">
        <x:v>07_Pacientes a 19_Talento_ausentismo; 29_Matriz_mensual!A4:N16</x:v>
      </x:c>
      <x:c r="G8" s="23" t="str">
        <x:v>Demanda / Producción / Talento / Costos / Glosas</x:v>
      </x:c>
      <x:c r="H8" s="23" t="str">
        <x:v>Producto incorporado; verificación de supervisión; limitaciones explícitas</x:v>
      </x:c>
    </x:row>
    <x:row r="9" ht="40" customHeight="1">
      <x:c r="A9" s="22" t="n">
        <x:v>5</x:v>
      </x:c>
      <x:c r="B9" s="22" t="str">
        <x:v>Brechas, riesgos, restricciones y oportunidades</x:v>
      </x:c>
      <x:c r="C9" s="22" t="str">
        <x:v>Riesgos, salvaguardas e implementación</x:v>
      </x:c>
      <x:c r="D9" s="23" t="str">
        <x:v>Caps. 29–32, pp. 36–39</x:v>
      </x:c>
      <x:c r="E9" s="23" t="str">
        <x:v>26–28</x:v>
      </x:c>
      <x:c r="F9" s="23" t="str">
        <x:v>24_Riesgos!A4:E10; 25_Hoja_ruta!A4:E10</x:v>
      </x:c>
      <x:c r="G9" s="23" t="str">
        <x:v>Riesgos / Hoja de ruta</x:v>
      </x:c>
      <x:c r="H9" s="23" t="str">
        <x:v>Producto incorporado; verificación de supervisión</x:v>
      </x:c>
    </x:row>
    <x:row r="10" ht="44" customHeight="1">
      <x:c r="A10" s="22" t="n">
        <x:v>6</x:v>
      </x:c>
      <x:c r="B10" s="22" t="str">
        <x:v>Valor público sanitario, social, territorial e institucional</x:v>
      </x:c>
      <x:c r="C10" s="22" t="str">
        <x:v>Lectura de acceso, continuidad y equidad</x:v>
      </x:c>
      <x:c r="D10" s="23" t="str">
        <x:v>Cap. 12, p. 20</x:v>
      </x:c>
      <x:c r="E10" s="23" t="str">
        <x:v>11</x:v>
      </x:c>
      <x:c r="F10" s="23" t="str">
        <x:v>20_Matriz_escenarios!A4:J24</x:v>
      </x:c>
      <x:c r="G10" s="23" t="str">
        <x:v>Escenarios</x:v>
      </x:c>
      <x:c r="H10" s="23" t="str">
        <x:v>Producto incorporado; verificación de supervisión</x:v>
      </x:c>
    </x:row>
    <x:row r="11" ht="44" customHeight="1">
      <x:c r="A11" s="22" t="n">
        <x:v>7</x:v>
      </x:c>
      <x:c r="B11" s="22" t="str">
        <x:v>Alternativas de modelo operativo</x:v>
      </x:c>
      <x:c r="C11" s="22" t="str">
        <x:v>Ocho criterios originales; ponderación técnica uniforme y sensibilidad</x:v>
      </x:c>
      <x:c r="D11" s="23" t="str">
        <x:v>Caps. 24–29, pp. 34–37; Anexo E, p. 45</x:v>
      </x:c>
      <x:c r="E11" s="23" t="str">
        <x:v>3, 22–26</x:v>
      </x:c>
      <x:c r="F11" s="23" t="str">
        <x:v>20_Matriz_escenarios!A4:J24; 21_Modelo_financiero!A4:J23; 22_Sensibilidad!A4:H13</x:v>
      </x:c>
      <x:c r="G11" s="23" t="str">
        <x:v>Escenarios</x:v>
      </x:c>
      <x:c r="H11" s="23" t="str">
        <x:v>Producto incorporado; verificación de supervisión; sin decisión institucional inferida</x:v>
      </x:c>
    </x:row>
    <x:row r="12" ht="40" customHeight="1">
      <x:c r="A12" s="23" t="n">
        <x:v>8</x:v>
      </x:c>
      <x:c r="B12" s="23" t="str">
        <x:v>Informe final, anexos y presentación ejecutiva</x:v>
      </x:c>
      <x:c r="C12" s="23" t="str">
        <x:v>Paquete técnico actualizado y mapa de referencias</x:v>
      </x:c>
      <x:c r="D12" s="23" t="str">
        <x:v>Informe completo, pp. 1–50</x:v>
      </x:c>
      <x:c r="E12" s="23" t="str">
        <x:v>1–30</x:v>
      </x:c>
      <x:c r="F12" s="23" t="str">
        <x:v>01_Portada; 02_Control_versiones; presente matriz</x:v>
      </x:c>
      <x:c r="G12" s="23" t="str">
        <x:v>Documentos</x:v>
      </x:c>
      <x:c r="H12" s="23" t="str">
        <x:v>Producto incorporado; verificación de supervisión</x:v>
      </x:c>
    </x:row>
    <x:row r="13" ht="44" customHeight="1">
      <x:c r="A13" s="23" t="str">
        <x:v>Soporte</x:v>
      </x:c>
      <x:c r="B13" s="23" t="str">
        <x:v>Certificación biomédica y nota aclaratoria (soporte complementario)</x:v>
      </x:c>
      <x:c r="C13" s="23" t="str">
        <x:v>Certificación del 23/10/2026; inventario de 194 registros; conciliación de 15 anotaciones</x:v>
      </x:c>
      <x:c r="D13" s="23" t="str">
        <x:v>Cap. 14, pp. 22–24; Anexo I, pp. 47–48</x:v>
      </x:c>
      <x:c r="E13" s="23" t="str">
        <x:v>13–15</x:v>
      </x:c>
      <x:c r="F13" s="23" t="str">
        <x:v>18_Equipos_biomedicos!A4:D22; 32_Inventario_biomedico!A4:V198; 33_Conciliacion_biomedica!A4:P19; 34_Certificacion_nota!A4:C22</x:v>
      </x:c>
      <x:c r="G13" s="23" t="str">
        <x:v>Inventario</x:v>
      </x:c>
      <x:c r="H13" s="23" t="str">
        <x:v>Actualización documental con reservas por registro; verificación de supervisión</x:v>
      </x:c>
    </x:row>
    <x:row r="16" ht="26" customHeight="1">
      <x:c r="A16" s="33" t="str">
        <x:v>Los productos incorporados y el cierre de esta actualización documental no acreditan por sí solos reuniones, actas, cumplimiento de pagos o recibo a satisfacción. Estos actos requieren los soportes y la verificación de supervisión correspondientes.</x:v>
      </x:c>
      <x:c r="B16" s="33"/>
      <x:c r="C16" s="33"/>
      <x:c r="D16" s="33"/>
      <x:c r="E16" s="33"/>
      <x:c r="F16" s="33"/>
      <x:c r="G16" s="33"/>
      <x:c r="H16" s="33"/>
    </x:row>
    <x:row r="17" ht="26" customHeight="1">
      <x:c r="A17" s="33"/>
      <x:c r="B17" s="33"/>
      <x:c r="C17" s="33"/>
      <x:c r="D17" s="33"/>
      <x:c r="E17" s="33"/>
      <x:c r="F17" s="33"/>
      <x:c r="G17" s="33"/>
      <x:c r="H17" s="33"/>
    </x:row>
    <x:row r="18" ht="26" customHeight="1">
      <x:c r="A18" s="33"/>
      <x:c r="B18" s="33"/>
      <x:c r="C18" s="33"/>
      <x:c r="D18" s="33"/>
      <x:c r="E18" s="33"/>
      <x:c r="F18" s="33"/>
      <x:c r="G18" s="33"/>
      <x:c r="H18" s="33"/>
    </x:row>
  </x:sheetData>
  <x:mergeCells>
    <x:mergeCell ref="A2:H2"/>
    <x:mergeCell ref="A1:H1"/>
    <x:mergeCell ref="A16:H18"/>
  </x:mergeCells>
  <x:pageMargins left="0.7" right="0.7" top="0.75" bottom="0.75" header="0.3" footer="0.3"/>
  <x:tableParts count="1">
    <x:tablePart xmlns:r="http://schemas.openxmlformats.org/officeDocument/2006/relationships" r:id="Raa3a5c80ebb1425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48" style="5" hidden="0" customWidth="1"/>
    <x:col min="2" max="5" width="26" style="5" customWidth="1"/>
    <x:col min="6" max="6" width="76" style="5" hidden="0" customWidth="1"/>
    <x:col min="7" max="16384" width="9" style="5" customWidth="1"/>
    <x:col min="2" max="2" width="24" hidden="0" customWidth="1"/>
    <x:col min="3" max="3" width="48" hidden="0" customWidth="1"/>
    <x:col min="4" max="4" width="48" hidden="0" customWidth="1"/>
    <x:col min="5" max="5" width="24" hidden="0" customWidth="1"/>
    <x:col min="7" max="7" width="24" hidden="0" customWidth="1"/>
    <x:col min="8" max="8" width="68" hidden="0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Valores de referencia del paquete final. Se distinguen universo, unidad, periodo y resultado calculado.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Dato crítico</x:v>
      </x:c>
      <x:c r="B4" s="26" t="str">
        <x:v>Valor final</x:v>
      </x:c>
      <x:c r="C4" s="26" t="str">
        <x:v>Unidad / alcance</x:v>
      </x:c>
      <x:c r="D4" s="26" t="str">
        <x:v>Informe / página</x:v>
      </x:c>
      <x:c r="E4" s="26" t="str">
        <x:v>Diapositivas reales</x:v>
      </x:c>
      <x:c r="F4" s="26" t="str">
        <x:v>Anexo: hoja y rango</x:v>
      </x:c>
      <x:c r="G4" s="26" t="str">
        <x:v>Módulo web</x:v>
      </x:c>
      <x:c r="H4" s="26" t="str">
        <x:v>Control / estado</x:v>
      </x:c>
    </x:row>
    <x:row r="5" ht="40" customHeight="1">
      <x:c r="A5" s="22" t="str">
        <x:v>Pacientes reportados por periodo</x:v>
      </x:c>
      <x:c r="B5" s="41" t="n">
        <x:v>97583</x:v>
      </x:c>
      <x:c r="C5" s="22" t="str">
        <x:v>Personas reportadas; suma multiperiodo</x:v>
      </x:c>
      <x:c r="D5" s="23" t="str">
        <x:v>Cap. 6, p. 13; Anexo B, p. 43</x:v>
      </x:c>
      <x:c r="E5" s="23" t="str">
        <x:v>2, 7</x:v>
      </x:c>
      <x:c r="F5" s="23" t="str">
        <x:v>07_Pacientes!B5:B8</x:v>
      </x:c>
      <x:c r="G5" s="23" t="str">
        <x:v>Demanda</x:v>
      </x:c>
      <x:c r="H5" s="23" t="str">
        <x:v>No sumar como usuarios únicos globales</x:v>
      </x:c>
    </x:row>
    <x:row r="6" ht="40" customHeight="1">
      <x:c r="A6" s="22" t="str">
        <x:v>Producción completa</x:v>
      </x:c>
      <x:c r="B6" s="41" t="n">
        <x:v>730301</x:v>
      </x:c>
      <x:c r="C6" s="22" t="str">
        <x:v>Registros de producción</x:v>
      </x:c>
      <x:c r="D6" s="23" t="str">
        <x:v>Cap. 8, p. 15; Anexo A, p. 42</x:v>
      </x:c>
      <x:c r="E6" s="23" t="str">
        <x:v>2, 8</x:v>
      </x:c>
      <x:c r="F6" s="23" t="str">
        <x:v>08_Produccion_servicios!B5:B14; 29_Matriz_mensual!N16</x:v>
      </x:c>
      <x:c r="G6" s="23" t="str">
        <x:v>Producción</x:v>
      </x:c>
      <x:c r="H6" s="23" t="str">
        <x:v>Cuadro institucional ITEN3 Tabla!N22</x:v>
      </x:c>
    </x:row>
    <x:row r="7" ht="40" customHeight="1">
      <x:c r="A7" s="22" t="str">
        <x:v>Producción de ocho grupos</x:v>
      </x:c>
      <x:c r="B7" s="41" t="n">
        <x:v>725508</x:v>
      </x:c>
      <x:c r="C7" s="22" t="str">
        <x:v>Registros de grupos seleccionados</x:v>
      </x:c>
      <x:c r="D7" s="23" t="str">
        <x:v>Anexo A, p. 42</x:v>
      </x:c>
      <x:c r="E7" s="23" t="str">
        <x:v>8 (universo completo)</x:v>
      </x:c>
      <x:c r="F7" s="23" t="str">
        <x:v>29_Matriz_mensual!N14</x:v>
      </x:c>
      <x:c r="G7" s="23" t="str">
        <x:v>Producción</x:v>
      </x:c>
      <x:c r="H7" s="23" t="str">
        <x:v>Excluye 4.698 de ambulancia y 95 de otros grupos</x:v>
      </x:c>
    </x:row>
    <x:row r="8" ht="40" customHeight="1">
      <x:c r="A8" s="22" t="str">
        <x:v>RIPS principal/egreso</x:v>
      </x:c>
      <x:c r="B8" s="41" t="n">
        <x:v>371987</x:v>
      </x:c>
      <x:c r="C8" s="22" t="str">
        <x:v>Registros diagnósticos</x:v>
      </x:c>
      <x:c r="D8" s="23" t="str">
        <x:v>Cap. 10, p. 18; Anexo C, p. 43</x:v>
      </x:c>
      <x:c r="E8" s="23" t="str">
        <x:v>9–10</x:v>
      </x:c>
      <x:c r="F8" s="23" t="str">
        <x:v>10_Sexo_edad!A4:D20; 11_Diagnosticos_episodios!A4:D28</x:v>
      </x:c>
      <x:c r="G8" s="23" t="str">
        <x:v>RIPS</x:v>
      </x:c>
      <x:c r="H8" s="23" t="str">
        <x:v>Un registro diagnóstico no equivale a una persona ni a producción</x:v>
      </x:c>
    </x:row>
    <x:row r="9" ht="40" customHeight="1">
      <x:c r="A9" s="22" t="str">
        <x:v>RIPS todas las posiciones</x:v>
      </x:c>
      <x:c r="B9" s="41" t="n">
        <x:v>745006</x:v>
      </x:c>
      <x:c r="C9" s="22" t="str">
        <x:v>Registros diagnósticos</x:v>
      </x:c>
      <x:c r="D9" s="23" t="str">
        <x:v>Cap. 10, p. 18; Anexo C, p. 43</x:v>
      </x:c>
      <x:c r="E9" s="23" t="str">
        <x:v>9 (nota de alcance)</x:v>
      </x:c>
      <x:c r="F9" s="23" t="str">
        <x:v>11_Diagnosticos_episodios!A31:D33 (alcance principal)</x:v>
      </x:c>
      <x:c r="G9" s="23" t="str">
        <x:v>RIPS</x:v>
      </x:c>
      <x:c r="H9" s="23" t="str">
        <x:v>Alcance ampliado; no sumar al principal</x:v>
      </x:c>
    </x:row>
    <x:row r="10" ht="40" customHeight="1">
      <x:c r="A10" s="22" t="str">
        <x:v>Usuarios únicos de RIPS</x:v>
      </x:c>
      <x:c r="B10" s="41" t="n">
        <x:v>68318</x:v>
      </x:c>
      <x:c r="C10" s="22" t="str">
        <x:v>Usuarios globales</x:v>
      </x:c>
      <x:c r="D10" s="23" t="str">
        <x:v>Cap. 9, p. 16; Anexo C, p. 43</x:v>
      </x:c>
      <x:c r="E10" s="23" t="str">
        <x:v>9</x:v>
      </x:c>
      <x:c r="F10" s="23" t="str">
        <x:v>10_Sexo_edad!A23:D25</x:v>
      </x:c>
      <x:c r="G10" s="23" t="str">
        <x:v>RIPS</x:v>
      </x:c>
      <x:c r="H10" s="23" t="str">
        <x:v>Los usuarios de grupos o periodos pueden superponerse</x:v>
      </x:c>
    </x:row>
    <x:row r="11" ht="40" customHeight="1">
      <x:c r="A11" s="22" t="str">
        <x:v>DIAGNOSTICO NO VALIDO, principal</x:v>
      </x:c>
      <x:c r="B11" s="41" t="n">
        <x:v>71450</x:v>
      </x:c>
      <x:c r="C11" s="22" t="str">
        <x:v>Registros pendientes de clasificación</x:v>
      </x:c>
      <x:c r="D11" s="23" t="str">
        <x:v>Cap. 10, p. 18; Anexo C, p. 43</x:v>
      </x:c>
      <x:c r="E11" s="23" t="str">
        <x:v>9–10</x:v>
      </x:c>
      <x:c r="F11" s="23" t="str">
        <x:v>11_Diagnosticos_episodios!A5:D14</x:v>
      </x:c>
      <x:c r="G11" s="23" t="str">
        <x:v>RIPS</x:v>
      </x:c>
      <x:c r="H11" s="23" t="str">
        <x:v>Conservar la etiqueta fuente; no reinterpretar como contactos válidos</x:v>
      </x:c>
    </x:row>
    <x:row r="12" ht="40" customHeight="1">
      <x:c r="A12" s="23" t="str">
        <x:v>Registros de glosa</x:v>
      </x:c>
      <x:c r="B12" s="41" t="n">
        <x:v>812</x:v>
      </x:c>
      <x:c r="C12" s="23" t="str">
        <x:v>Registros; no COP</x:v>
      </x:c>
      <x:c r="D12" s="23" t="str">
        <x:v>Cap. 22, p. 30; Anexo H, p. 47</x:v>
      </x:c>
      <x:c r="E12" s="23" t="str">
        <x:v>21</x:v>
      </x:c>
      <x:c r="F12" s="23" t="str">
        <x:v>16_Glosas_EPS!B5:B10; 17_Glosas_conceptos!B5:B10</x:v>
      </x:c>
      <x:c r="G12" s="23" t="str">
        <x:v>Glosas</x:v>
      </x:c>
      <x:c r="H12" s="23" t="str">
        <x:v>No usar este conteo como importe monetario</x:v>
      </x:c>
    </x:row>
    <x:row r="13" ht="40" customHeight="1">
      <x:c r="A13" s="23" t="str">
        <x:v>Inventario biomédico</x:v>
      </x:c>
      <x:c r="B13" s="41" t="n">
        <x:v>194</x:v>
      </x:c>
      <x:c r="C13" s="23" t="str">
        <x:v>Registros; no activos únicos acreditados</x:v>
      </x:c>
      <x:c r="D13" s="23" t="str">
        <x:v>Cap. 14, pp. 22–24; Anexo I, p. 47</x:v>
      </x:c>
      <x:c r="E13" s="23" t="str">
        <x:v>13–15</x:v>
      </x:c>
      <x:c r="F13" s="23" t="str">
        <x:v>18_Equipos_biomedicos!B5; 32_Inventario_biomedico!A5:A198</x:v>
      </x:c>
      <x:c r="G13" s="23" t="str">
        <x:v>Inventario</x:v>
      </x:c>
      <x:c r="H13" s="23" t="str">
        <x:v>Fuente individual de 194 filas conservadas</x:v>
      </x:c>
    </x:row>
    <x:row r="14" ht="40" customHeight="1">
      <x:c r="A14" s="23" t="str">
        <x:v>Inicialmente no ubicados</x:v>
      </x:c>
      <x:c r="B14" s="41" t="n">
        <x:v>15</x:v>
      </x:c>
      <x:c r="C14" s="23" t="str">
        <x:v>Registros iniciales</x:v>
      </x:c>
      <x:c r="D14" s="23" t="str">
        <x:v>Cap. 14, pp. 22–24; Anexo I, p. 48</x:v>
      </x:c>
      <x:c r="E14" s="23" t="str">
        <x:v>14–15</x:v>
      </x:c>
      <x:c r="F14" s="23" t="str">
        <x:v>18_Equipos_biomedicos!B17; 33_Conciliacion_biomedica!A5:A19</x:v>
      </x:c>
      <x:c r="G14" s="23" t="str">
        <x:v>Inventario</x:v>
      </x:c>
      <x:c r="H14" s="23" t="str">
        <x:v>No ubicación inicial no prueba pérdida</x:v>
      </x:c>
    </x:row>
    <x:row r="15" ht="40" customHeight="1">
      <x:c r="A15" s="23" t="str">
        <x:v>Reportes individuales anexos</x:v>
      </x:c>
      <x:c r="B15" s="41" t="n">
        <x:v>14</x:v>
      </x:c>
      <x:c r="C15" s="23" t="str">
        <x:v>Reportes</x:v>
      </x:c>
      <x:c r="D15" s="23" t="str">
        <x:v>Nota aclaratoria, p. 24; Anexo I, p. 48</x:v>
      </x:c>
      <x:c r="E15" s="23" t="str">
        <x:v>14–15</x:v>
      </x:c>
      <x:c r="F15" s="23" t="str">
        <x:v>18_Equipos_biomedicos!B18</x:v>
      </x:c>
      <x:c r="G15" s="23" t="str">
        <x:v>Inventario</x:v>
      </x:c>
      <x:c r="H15" s="23" t="str">
        <x:v>Certificación pp. 3–16</x:v>
      </x:c>
    </x:row>
    <x:row r="16" ht="40" customHeight="1">
      <x:c r="A16" s="23" t="str">
        <x:v>Vínculos por placa o serie</x:v>
      </x:c>
      <x:c r="B16" s="41" t="n">
        <x:v>12</x:v>
      </x:c>
      <x:c r="C16" s="23" t="str">
        <x:v>Registros</x:v>
      </x:c>
      <x:c r="D16" s="23" t="str">
        <x:v>Nota aclaratoria, p. 24; Anexo I, p. 48</x:v>
      </x:c>
      <x:c r="E16" s="23" t="str">
        <x:v>14</x:v>
      </x:c>
      <x:c r="F16" s="23" t="str">
        <x:v>18_Equipos_biomedicos!B19</x:v>
      </x:c>
      <x:c r="G16" s="23" t="str">
        <x:v>Inventario</x:v>
      </x:c>
      <x:c r="H16" s="23" t="str">
        <x:v>10 por placa y 2 por serie</x:v>
      </x:c>
    </x:row>
    <x:row r="17" ht="40" customHeight="1">
      <x:c r="A17" s="23" t="str">
        <x:v>Asociaciones descriptivas</x:v>
      </x:c>
      <x:c r="B17" s="41" t="n">
        <x:v>2</x:v>
      </x:c>
      <x:c r="C17" s="23" t="str">
        <x:v>Registros con identidad por corroborar</x:v>
      </x:c>
      <x:c r="D17" s="23" t="str">
        <x:v>Nota aclaratoria, p. 24; Anexo I, p. 48</x:v>
      </x:c>
      <x:c r="E17" s="23" t="str">
        <x:v>14–15</x:v>
      </x:c>
      <x:c r="F17" s="23" t="str">
        <x:v>18_Equipos_biomedicos!B20; 33_Conciliacion_biomedica!J5:J19</x:v>
      </x:c>
      <x:c r="G17" s="23" t="str">
        <x:v>Inventario</x:v>
      </x:c>
      <x:c r="H17" s="23" t="str">
        <x:v>Fonendoscopio y lápiz halógeno sin clave original</x:v>
      </x:c>
    </x:row>
    <x:row r="18" ht="40" customHeight="1">
      <x:c r="A18" s="23" t="str">
        <x:v>Sin reporte individual</x:v>
      </x:c>
      <x:c r="B18" s="41" t="n">
        <x:v>1</x:v>
      </x:c>
      <x:c r="C18" s="23" t="str">
        <x:v>Registro</x:v>
      </x:c>
      <x:c r="D18" s="23" t="str">
        <x:v>Nota aclaratoria, p. 24; Anexo I, p. 48</x:v>
      </x:c>
      <x:c r="E18" s="23" t="str">
        <x:v>14–15</x:v>
      </x:c>
      <x:c r="F18" s="23" t="str">
        <x:v>18_Equipos_biomedicos!B21; 33_Conciliacion_biomedica!A5:P19</x:v>
      </x:c>
      <x:c r="G18" s="23" t="str">
        <x:v>Inventario</x:v>
      </x:c>
      <x:c r="H18" s="23" t="str">
        <x:v>Báscula BADECOL 8631; serie 25689-334</x:v>
      </x:c>
    </x:row>
    <x:row r="19" ht="40" customHeight="1">
      <x:c r="A19" s="23" t="str">
        <x:v>Operativos explícitos</x:v>
      </x:c>
      <x:c r="B19" s="41" t="n">
        <x:v>106</x:v>
      </x:c>
      <x:c r="C19" s="23" t="str">
        <x:v>Registros documentales</x:v>
      </x:c>
      <x:c r="D19" s="23" t="str">
        <x:v>Cap. 14, p. 22; Anexo I, p. 47</x:v>
      </x:c>
      <x:c r="E19" s="23" t="str">
        <x:v>13</x:v>
      </x:c>
      <x:c r="F19" s="23" t="str">
        <x:v>18_Equipos_biomedicos!B6</x:v>
      </x:c>
      <x:c r="G19" s="23" t="str">
        <x:v>Inventario</x:v>
      </x:c>
      <x:c r="H19" s="23" t="str">
        <x:v>No indicador de disponibilidad simultánea</x:v>
      </x:c>
    </x:row>
    <x:row r="20" ht="40" customHeight="1">
      <x:c r="A20" s="23" t="str">
        <x:v>Operativos con observaciones</x:v>
      </x:c>
      <x:c r="B20" s="41" t="n">
        <x:v>66</x:v>
      </x:c>
      <x:c r="C20" s="23" t="str">
        <x:v>Registros documentales</x:v>
      </x:c>
      <x:c r="D20" s="23" t="str">
        <x:v>Cap. 14, p. 22; Anexo I, p. 47</x:v>
      </x:c>
      <x:c r="E20" s="23" t="str">
        <x:v>13</x:v>
      </x:c>
      <x:c r="F20" s="23" t="str">
        <x:v>18_Equipos_biomedicos!B7</x:v>
      </x:c>
      <x:c r="G20" s="23" t="str">
        <x:v>Inventario</x:v>
      </x:c>
      <x:c r="H20" s="23" t="str">
        <x:v>Conservar acciones y observaciones</x:v>
      </x:c>
    </x:row>
    <x:row r="21" ht="40" customHeight="1">
      <x:c r="A21" s="23" t="str">
        <x:v>Fuera de servicio</x:v>
      </x:c>
      <x:c r="B21" s="41" t="n">
        <x:v>5</x:v>
      </x:c>
      <x:c r="C21" s="23" t="str">
        <x:v>Registros documentales</x:v>
      </x:c>
      <x:c r="D21" s="23" t="str">
        <x:v>Cap. 14, p. 22; Anexo I, p. 47</x:v>
      </x:c>
      <x:c r="E21" s="23" t="str">
        <x:v>13, 15</x:v>
      </x:c>
      <x:c r="F21" s="23" t="str">
        <x:v>18_Equipos_biomedicos!B8</x:v>
      </x:c>
      <x:c r="G21" s="23" t="str">
        <x:v>Inventario</x:v>
      </x:c>
      <x:c r="H21" s="23" t="str">
        <x:v>Recomendaciones de gestión no equivalen a baja ejecutada</x:v>
      </x:c>
    </x:row>
    <x:row r="22" ht="40" customHeight="1">
      <x:c r="A22" s="23" t="str">
        <x:v>Condición por verificar</x:v>
      </x:c>
      <x:c r="B22" s="41" t="n">
        <x:v>12</x:v>
      </x:c>
      <x:c r="C22" s="23" t="str">
        <x:v>Registros documentales</x:v>
      </x:c>
      <x:c r="D22" s="23" t="str">
        <x:v>Cap. 14, p. 22; Anexo I, p. 47</x:v>
      </x:c>
      <x:c r="E22" s="23" t="str">
        <x:v>13</x:v>
      </x:c>
      <x:c r="F22" s="23" t="str">
        <x:v>18_Equipos_biomedicos!B9</x:v>
      </x:c>
      <x:c r="G22" s="23" t="str">
        <x:v>Inventario</x:v>
      </x:c>
      <x:c r="H22" s="23" t="str">
        <x:v>No inferir operatividad</x:v>
      </x:c>
    </x:row>
    <x:row r="23" ht="40" customHeight="1">
      <x:c r="A23" s="23" t="str">
        <x:v>Intervención en proceso</x:v>
      </x:c>
      <x:c r="B23" s="41" t="n">
        <x:v>1</x:v>
      </x:c>
      <x:c r="C23" s="23" t="str">
        <x:v>Registro documental</x:v>
      </x:c>
      <x:c r="D23" s="23" t="str">
        <x:v>Cap. 14, pp. 22–24; Anexo I, p. 48</x:v>
      </x:c>
      <x:c r="E23" s="23" t="str">
        <x:v>13, 15</x:v>
      </x:c>
      <x:c r="F23" s="23" t="str">
        <x:v>18_Equipos_biomedicos!B10</x:v>
      </x:c>
      <x:c r="G23" s="23" t="str">
        <x:v>Inventario</x:v>
      </x:c>
      <x:c r="H23" s="23" t="str">
        <x:v>Placa 3259</x:v>
      </x:c>
    </x:row>
    <x:row r="24" ht="40" customHeight="1">
      <x:c r="A24" s="23" t="str">
        <x:v>Traslado a otra sede</x:v>
      </x:c>
      <x:c r="B24" s="41" t="n">
        <x:v>1</x:v>
      </x:c>
      <x:c r="C24" s="23" t="str">
        <x:v>Registro documental</x:v>
      </x:c>
      <x:c r="D24" s="23" t="str">
        <x:v>Cap. 14, p. 22; Anexo I, p. 47</x:v>
      </x:c>
      <x:c r="E24" s="23" t="str">
        <x:v>13</x:v>
      </x:c>
      <x:c r="F24" s="23" t="str">
        <x:v>18_Equipos_biomedicos!B13</x:v>
      </x:c>
      <x:c r="G24" s="23" t="str">
        <x:v>Inventario</x:v>
      </x:c>
      <x:c r="H24" s="23" t="str">
        <x:v>Traslado a IPC; conservar registro fuente</x:v>
      </x:c>
    </x:row>
    <x:row r="25" ht="40" customHeight="1">
      <x:c r="A25" s="23" t="str">
        <x:v>Costo CAIMI 2025</x:v>
      </x:c>
      <x:c r="B25" s="40" t="n">
        <x:v>9828115932.47</x:v>
      </x:c>
      <x:c r="C25" s="23" t="str">
        <x:v>COP; año completo</x:v>
      </x:c>
      <x:c r="D25" s="23" t="str">
        <x:v>Caps. 20–21, pp. 29–30; Anexo D, p. 44</x:v>
      </x:c>
      <x:c r="E25" s="23" t="str">
        <x:v>19–20</x:v>
      </x:c>
      <x:c r="F25" s="23" t="str">
        <x:v>31_Conciliacion_Costos!C7</x:v>
      </x:c>
      <x:c r="G25" s="23" t="str">
        <x:v>Costos</x:v>
      </x:c>
      <x:c r="H25" s="23" t="str">
        <x:v>Costo oficial por absorción</x:v>
      </x:c>
    </x:row>
    <x:row r="26" ht="40" customHeight="1">
      <x:c r="A26" s="23" t="str">
        <x:v>Facturación CAIMI 2025</x:v>
      </x:c>
      <x:c r="B26" s="40" t="n">
        <x:v>9535465884</x:v>
      </x:c>
      <x:c r="C26" s="23" t="str">
        <x:v>COP; año completo</x:v>
      </x:c>
      <x:c r="D26" s="23" t="str">
        <x:v>Caps. 20–21, pp. 29–30; Anexo D, p. 44</x:v>
      </x:c>
      <x:c r="E26" s="23" t="str">
        <x:v>19–20</x:v>
      </x:c>
      <x:c r="F26" s="23" t="str">
        <x:v>31_Conciliacion_Costos!D7</x:v>
      </x:c>
      <x:c r="G26" s="23" t="str">
        <x:v>Costos</x:v>
      </x:c>
      <x:c r="H26" s="23" t="str">
        <x:v>No equivale a recaudo</x:v>
      </x:c>
    </x:row>
    <x:row r="27" ht="40" customHeight="1">
      <x:c r="A27" s="23" t="str">
        <x:v>Costo CAIMI I semestre 2026</x:v>
      </x:c>
      <x:c r="B27" s="40" t="n">
        <x:v>5250296535.41</x:v>
      </x:c>
      <x:c r="C27" s="23" t="str">
        <x:v>COP; semestre</x:v>
      </x:c>
      <x:c r="D27" s="23" t="str">
        <x:v>Caps. 20–21, pp. 29–30; Anexo D, p. 44</x:v>
      </x:c>
      <x:c r="E27" s="23" t="str">
        <x:v>19–20</x:v>
      </x:c>
      <x:c r="F27" s="23" t="str">
        <x:v>31_Conciliacion_Costos!C8</x:v>
      </x:c>
      <x:c r="G27" s="23" t="str">
        <x:v>Costos</x:v>
      </x:c>
      <x:c r="H27" s="23" t="str">
        <x:v>Conservar sin ajuste automático por certificación</x:v>
      </x:c>
    </x:row>
    <x:row r="28" ht="40" customHeight="1">
      <x:c r="A28" s="23" t="str">
        <x:v>Facturación CAIMI I semestre 2026</x:v>
      </x:c>
      <x:c r="B28" s="40" t="n">
        <x:v>4730202897</x:v>
      </x:c>
      <x:c r="C28" s="23" t="str">
        <x:v>COP; semestre</x:v>
      </x:c>
      <x:c r="D28" s="23" t="str">
        <x:v>Caps. 20–21, pp. 29–30; Anexo D, p. 44</x:v>
      </x:c>
      <x:c r="E28" s="23" t="str">
        <x:v>19–20</x:v>
      </x:c>
      <x:c r="F28" s="23" t="str">
        <x:v>31_Conciliacion_Costos!D8</x:v>
      </x:c>
      <x:c r="G28" s="23" t="str">
        <x:v>Costos</x:v>
      </x:c>
      <x:c r="H28" s="23" t="str">
        <x:v>No equivale a recaudo</x:v>
      </x:c>
    </x:row>
    <x:row r="29" ht="40" customHeight="1">
      <x:c r="A29" s="23" t="str">
        <x:v>Facturación menos costo 2026</x:v>
      </x:c>
      <x:c r="B29" s="40" t="n">
        <x:v>-520093638.41</x:v>
      </x:c>
      <x:c r="C29" s="23" t="str">
        <x:v>COP; semestre</x:v>
      </x:c>
      <x:c r="D29" s="23" t="str">
        <x:v>Caps. 20–23, pp. 29–33; Anexo D, p. 44</x:v>
      </x:c>
      <x:c r="E29" s="23" t="str">
        <x:v>19</x:v>
      </x:c>
      <x:c r="F29" s="23" t="str">
        <x:v>31_Conciliacion_Costos!E8</x:v>
      </x:c>
      <x:c r="G29" s="23" t="str">
        <x:v>Costos</x:v>
      </x:c>
      <x:c r="H29" s="23" t="str">
        <x:v>No utilidad neta ni flujo de caja</x:v>
      </x:c>
    </x:row>
    <x:row r="30" ht="40" customHeight="1">
      <x:c r="A30" s="23" t="str">
        <x:v>Diferencia interna urgencias 2026</x:v>
      </x:c>
      <x:c r="B30" s="40" t="n">
        <x:v>246421769.62</x:v>
      </x:c>
      <x:c r="C30" s="23" t="str">
        <x:v>COP; total menos distribuciones</x:v>
      </x:c>
      <x:c r="D30" s="23" t="str">
        <x:v>Cap. 21, p. 30; Anexo D, p. 44</x:v>
      </x:c>
      <x:c r="E30" s="23" t="str">
        <x:v>20 (nota)</x:v>
      </x:c>
      <x:c r="F30" s="23" t="str">
        <x:v>13_Costos_por_centro!L11:N11; A35:Q36</x:v>
      </x:c>
      <x:c r="G30" s="23" t="str">
        <x:v>Costos</x:v>
      </x:c>
      <x:c r="H30" s="23" t="str">
        <x:v>Fuente oficial preservada; componente pendiente de explicación</x:v>
      </x:c>
    </x:row>
    <x:row r="31" ht="40" customHeight="1">
      <x:c r="A31" s="23" t="str">
        <x:v>Activo corriente E.S.E. junio 2026</x:v>
      </x:c>
      <x:c r="B31" s="40" t="n">
        <x:v>31965431402.17</x:v>
      </x:c>
      <x:c r="C31" s="23" t="str">
        <x:v>COP; E.S.E. completa</x:v>
      </x:c>
      <x:c r="D31" s="23" t="str">
        <x:v>Cap. 17, p. 27</x:v>
      </x:c>
      <x:c r="E31" s="23" t="str">
        <x:v>18</x:v>
      </x:c>
      <x:c r="F31" s="23" t="str">
        <x:v>14_Estados_financieros!K8</x:v>
      </x:c>
      <x:c r="G31" s="23" t="str">
        <x:v>Finanzas</x:v>
      </x:c>
      <x:c r="H31" s="23" t="str">
        <x:v>No atribuible en su totalidad al CAIMI</x:v>
      </x:c>
    </x:row>
    <x:row r="32" ht="40" customHeight="1">
      <x:c r="A32" s="23" t="str">
        <x:v>Pasivo corriente E.S.E. junio 2026</x:v>
      </x:c>
      <x:c r="B32" s="40" t="n">
        <x:v>26454648534.59</x:v>
      </x:c>
      <x:c r="C32" s="23" t="str">
        <x:v>COP; E.S.E. completa</x:v>
      </x:c>
      <x:c r="D32" s="23" t="str">
        <x:v>Cap. 17, p. 27</x:v>
      </x:c>
      <x:c r="E32" s="23" t="str">
        <x:v>18</x:v>
      </x:c>
      <x:c r="F32" s="23" t="str">
        <x:v>14_Estados_financieros!L8</x:v>
      </x:c>
      <x:c r="G32" s="23" t="str">
        <x:v>Finanzas</x:v>
      </x:c>
      <x:c r="H32" s="23" t="str">
        <x:v>No atribuible en su totalidad al CAIMI</x:v>
      </x:c>
    </x:row>
    <x:row r="33" ht="40" customHeight="1">
      <x:c r="A33" s="23" t="str">
        <x:v>Capital de trabajo E.S.E. junio 2026</x:v>
      </x:c>
      <x:c r="B33" s="40" t="n">
        <x:v>5510782867.58</x:v>
      </x:c>
      <x:c r="C33" s="23" t="str">
        <x:v>COP; activo corriente menos pasivo corriente</x:v>
      </x:c>
      <x:c r="D33" s="23" t="str">
        <x:v>Cap. 17, p. 27</x:v>
      </x:c>
      <x:c r="E33" s="23" t="str">
        <x:v>18</x:v>
      </x:c>
      <x:c r="F33" s="23" t="str">
        <x:v>14_Estados_financieros!M8; 15_Indicadores_financieros!F8</x:v>
      </x:c>
      <x:c r="G33" s="23" t="str">
        <x:v>Finanzas</x:v>
      </x:c>
      <x:c r="H33" s="23" t="str">
        <x:v>Magnitud institucional</x:v>
      </x:c>
    </x:row>
    <x:row r="34" ht="40" customHeight="1">
      <x:c r="A34" s="23" t="str">
        <x:v>Puntaje: Continuidad optimizada</x:v>
      </x:c>
      <x:c r="B34" s="42" t="n">
        <x:v>3.8875</x:v>
      </x:c>
      <x:c r="C34" s="23" t="str">
        <x:v>Escala de 1 a 5; pesos uniformes 12,5%</x:v>
      </x:c>
      <x:c r="D34" s="23" t="str">
        <x:v>Cap. 28, p. 36; Anexo E, p. 45</x:v>
      </x:c>
      <x:c r="E34" s="23" t="str">
        <x:v>3, 22, 25</x:v>
      </x:c>
      <x:c r="F34" s="23" t="str">
        <x:v>20_Matriz_escenarios!J5</x:v>
      </x:c>
      <x:c r="G34" s="23" t="str">
        <x:v>Escenarios</x:v>
      </x:c>
      <x:c r="H34" s="23" t="str">
        <x:v>Supuesto técnico; no aprobación institucional</x:v>
      </x:c>
    </x:row>
    <x:row r="35" ht="40" customHeight="1">
      <x:c r="A35" s="23" t="str">
        <x:v>Puntaje: Tercerización condicionada</x:v>
      </x:c>
      <x:c r="B35" s="42" t="n">
        <x:v>3.8625</x:v>
      </x:c>
      <x:c r="C35" s="23" t="str">
        <x:v>Escala de 1 a 5; pesos uniformes 12,5%</x:v>
      </x:c>
      <x:c r="D35" s="23" t="str">
        <x:v>Cap. 28, p. 36; Anexo E, p. 45</x:v>
      </x:c>
      <x:c r="E35" s="23" t="str">
        <x:v>3, 23, 25</x:v>
      </x:c>
      <x:c r="F35" s="23" t="str">
        <x:v>20_Matriz_escenarios!J6</x:v>
      </x:c>
      <x:c r="G35" s="23" t="str">
        <x:v>Escenarios</x:v>
      </x:c>
      <x:c r="H35" s="23" t="str">
        <x:v>Supuesto técnico; no aprobación institucional</x:v>
      </x:c>
    </x:row>
    <x:row r="36" ht="40" customHeight="1">
      <x:c r="A36" s="23" t="str">
        <x:v>Puntaje: Cierre / reconversión</x:v>
      </x:c>
      <x:c r="B36" s="42" t="n">
        <x:v>2.5</x:v>
      </x:c>
      <x:c r="C36" s="23" t="str">
        <x:v>Escala de 1 a 5; pesos uniformes 12,5%</x:v>
      </x:c>
      <x:c r="D36" s="23" t="str">
        <x:v>Cap. 28, p. 36; Anexo E, p. 45</x:v>
      </x:c>
      <x:c r="E36" s="23" t="str">
        <x:v>3, 24, 25</x:v>
      </x:c>
      <x:c r="F36" s="23" t="str">
        <x:v>20_Matriz_escenarios!J7</x:v>
      </x:c>
      <x:c r="G36" s="23" t="str">
        <x:v>Escenarios</x:v>
      </x:c>
      <x:c r="H36" s="23" t="str">
        <x:v>Supuesto técnico; no aprobación institucional</x:v>
      </x:c>
    </x:row>
    <x:row r="37" ht="40" customHeight="1">
      <x:c r="A37" s="23" t="str">
        <x:v>Meta de disponibilidad tecnológica</x:v>
      </x:c>
      <x:c r="B37" s="43" t="n">
        <x:v>0.95</x:v>
      </x:c>
      <x:c r="C37" s="23" t="str">
        <x:v>Meta; no resultado observado</x:v>
      </x:c>
      <x:c r="D37" s="23" t="str">
        <x:v>Cap. 31, p. 38; Anexo F, p. 45</x:v>
      </x:c>
      <x:c r="E37" s="23" t="str">
        <x:v>29</x:v>
      </x:c>
      <x:c r="F37" s="23" t="str">
        <x:v>23_Indicadores!C8; 34_Certificacion_nota!A15:C15</x:v>
      </x:c>
      <x:c r="G37" s="23" t="str">
        <x:v>Indicadores</x:v>
      </x:c>
      <x:c r="H37" s="23" t="str">
        <x:v>No calculable como observado con inventario de fechas distintas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8b7fd4a9458428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34" style="5" hidden="0" customWidth="1"/>
    <x:col min="2" max="2" width="86" style="5" hidden="0" customWidth="1"/>
    <x:col min="3" max="3" width="70" style="5" hidden="0" customWidth="1"/>
    <x:col min="4" max="5" width="24" style="5" customWidth="1"/>
    <x:col min="6" max="16384" width="9" style="5" customWidth="1"/>
    <x:col min="4" max="4" width="46" hidden="0" customWidth="1"/>
    <x:col min="5" max="5" width="23" hidden="0" customWidth="1"/>
    <x:col min="6" max="6" width="76" hidden="0" customWidth="1"/>
    <x:col min="7" max="7" width="32" hidden="0" customWidth="1"/>
    <x:col min="8" max="8" width="70" hidden="0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Mapa de fuentes y productos derivados. Las referencias institucionales preservan sus fechas y alcance.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Bloque</x:v>
      </x:c>
      <x:c r="B4" s="26" t="str">
        <x:v>Fuente / localización</x:v>
      </x:c>
      <x:c r="C4" s="26" t="str">
        <x:v>Evidencia derivada</x:v>
      </x:c>
      <x:c r="D4" s="26" t="str">
        <x:v>Informe / página</x:v>
      </x:c>
      <x:c r="E4" s="26" t="str">
        <x:v>Diapositivas reales</x:v>
      </x:c>
      <x:c r="F4" s="26" t="str">
        <x:v>Anexo: hoja y rango</x:v>
      </x:c>
      <x:c r="G4" s="26" t="str">
        <x:v>Módulo web</x:v>
      </x:c>
      <x:c r="H4" s="26" t="str">
        <x:v>Limitación / control</x:v>
      </x:c>
    </x:row>
    <x:row r="5" ht="40" customHeight="1">
      <x:c r="A5" s="22" t="str">
        <x:v>Mandato contractual</x:v>
      </x:c>
      <x:c r="B5" s="22" t="str">
        <x:v>Contrato 0481 de 2026, estudio previo y propuesta</x:v>
      </x:c>
      <x:c r="C5" s="22" t="str">
        <x:v>Objeto, actividades y productos; actos de supervisión separados</x:v>
      </x:c>
      <x:c r="D5" s="23" t="str">
        <x:v>Caps. 1–2, pp. 8–9</x:v>
      </x:c>
      <x:c r="E5" s="23" t="str">
        <x:v>4–5, 30</x:v>
      </x:c>
      <x:c r="F5" s="23" t="str">
        <x:v>26_Cumplimiento_contrato!A4:D13</x:v>
      </x:c>
      <x:c r="G5" s="23" t="str">
        <x:v>Documentos</x:v>
      </x:c>
      <x:c r="H5" s="23" t="str">
        <x:v>No acredita automáticamente actas o recibo a satisfacción</x:v>
      </x:c>
    </x:row>
    <x:row r="6" ht="40" customHeight="1">
      <x:c r="A6" s="22" t="str">
        <x:v>Base de actualización</x:v>
      </x:c>
      <x:c r="B6" s="22" t="str">
        <x:v>Anexos_Modelo_Integral_CAIMI_ESE_CEO_VF (2).xlsx; base aceptada 27/08/2026</x:v>
      </x:c>
      <x:c r="C6" s="22" t="str">
        <x:v>Arquitectura, estilos, datos históricos y calificaciones conservados</x:v>
      </x:c>
      <x:c r="D6" s="23" t="str">
        <x:v>Cap. 3, p. 10</x:v>
      </x:c>
      <x:c r="E6" s="23" t="str">
        <x:v>5–6</x:v>
      </x:c>
      <x:c r="F6" s="23" t="str">
        <x:v>01_Portada; 02_Control_versiones</x:v>
      </x:c>
      <x:c r="G6" s="23" t="str">
        <x:v>Documentos</x:v>
      </x:c>
      <x:c r="H6" s="23" t="str">
        <x:v>Fuente base preservada; cambios derivados identificados</x:v>
      </x:c>
    </x:row>
    <x:row r="7" ht="40" customHeight="1">
      <x:c r="A7" s="22" t="str">
        <x:v>Demanda por periodo</x:v>
      </x:c>
      <x:c r="B7" s="22" t="str">
        <x:v>20-ITEN-3-Caimi-2023-2024-2025-a-30-Junio-2026.xlsx, Tabla!A3:B7</x:v>
      </x:c>
      <x:c r="C7" s="22" t="str">
        <x:v>13.131 / 39.624 / 33.630 / 11.198 reportados</x:v>
      </x:c>
      <x:c r="D7" s="23" t="str">
        <x:v>Cap. 6, p. 13; Anexo B, p. 43</x:v>
      </x:c>
      <x:c r="E7" s="23" t="str">
        <x:v>7</x:v>
      </x:c>
      <x:c r="F7" s="23" t="str">
        <x:v>07_Pacientes!A4:B8</x:v>
      </x:c>
      <x:c r="G7" s="23" t="str">
        <x:v>Demanda</x:v>
      </x:c>
      <x:c r="H7" s="23" t="str">
        <x:v>No usuarios únicos globales</x:v>
      </x:c>
    </x:row>
    <x:row r="8" ht="44" customHeight="1">
      <x:c r="A8" s="22" t="str">
        <x:v>Producción mensual y por servicio</x:v>
      </x:c>
      <x:c r="B8" s="22" t="str">
        <x:v>ITEN3, Tabla!A9:N22</x:v>
      </x:c>
      <x:c r="C8" s="22" t="str">
        <x:v>730.301 registros; ocho grupos seleccionados 725.508</x:v>
      </x:c>
      <x:c r="D8" s="23" t="str">
        <x:v>Caps. 7–8, pp. 14–15; Anexo A, p. 42</x:v>
      </x:c>
      <x:c r="E8" s="23" t="str">
        <x:v>8</x:v>
      </x:c>
      <x:c r="F8" s="23" t="str">
        <x:v>08_Produccion_servicios!A4:B14; 09_Tendencia_mensual!A4:B16; 29_Matriz_mensual!A4:N16</x:v>
      </x:c>
      <x:c r="G8" s="23" t="str">
        <x:v>Producción</x:v>
      </x:c>
      <x:c r="H8" s="23" t="str">
        <x:v>Meses agregados de varias vigencias</x:v>
      </x:c>
    </x:row>
    <x:row r="9" ht="40" customHeight="1">
      <x:c r="A9" s="22" t="str">
        <x:v>RIPS: demografía y diagnóstico</x:v>
      </x:c>
      <x:c r="B9" s="22" t="str">
        <x:v>rips-v22-data.js del aplicativo aprobado</x:v>
      </x:c>
      <x:c r="C9" s="22" t="str">
        <x:v>371.987 principales/egreso; 745.006 todas las posiciones; 68.318 usuarios</x:v>
      </x:c>
      <x:c r="D9" s="23" t="str">
        <x:v>Caps. 9–11, pp. 16–19; Anexos B–C, p. 43</x:v>
      </x:c>
      <x:c r="E9" s="23" t="str">
        <x:v>9–10, 17</x:v>
      </x:c>
      <x:c r="F9" s="23" t="str">
        <x:v>10_Sexo_edad!A4:D25; 11_Diagnosticos_episodios!A4:D33</x:v>
      </x:c>
      <x:c r="G9" s="23" t="str">
        <x:v>RIPS</x:v>
      </x:c>
      <x:c r="H9" s="23" t="str">
        <x:v>DIAGNOSTICO NO VALIDO permanece pendiente de clasificación</x:v>
      </x:c>
    </x:row>
    <x:row r="10" ht="40" customHeight="1">
      <x:c r="A10" s="22" t="str">
        <x:v>Inventario biomédico base</x:v>
      </x:c>
      <x:c r="B10" s="22" t="str">
        <x:v>INVENTARIO DE EQUIPOS BIOMÉDICOS SEDE CAIMI .pdf, pp. 1–9</x:v>
      </x:c>
      <x:c r="C10" s="22" t="str">
        <x:v>194 registros; 15 anotaciones iniciales no ubicadas</x:v>
      </x:c>
      <x:c r="D10" s="23" t="str">
        <x:v>Cap. 14, pp. 22–24; Anexo I, pp. 47–48</x:v>
      </x:c>
      <x:c r="E10" s="23" t="str">
        <x:v>13–15</x:v>
      </x:c>
      <x:c r="F10" s="23" t="str">
        <x:v>32_Inventario_biomedico!A4:V198</x:v>
      </x:c>
      <x:c r="G10" s="23" t="str">
        <x:v>Inventario</x:v>
      </x:c>
      <x:c r="H10" s="23" t="str">
        <x:v>Conservar textos originales y claves faltantes</x:v>
      </x:c>
    </x:row>
    <x:row r="11" ht="40" customHeight="1">
      <x:c r="A11" s="22" t="str">
        <x:v>Certificación biomédica</x:v>
      </x:c>
      <x:c r="B11" s="22" t="str">
        <x:v>CERTIFICACIÓN EB CAIMI CON REPORTES.pdf, 23/10/2026; pp. 1–16</x:v>
      </x:c>
      <x:c r="C11" s="22" t="str">
        <x:v>Firmante Kelly Catherine Reyes Moreno; 14 reportes individuales</x:v>
      </x:c>
      <x:c r="D11" s="23" t="str">
        <x:v>Nota aclaratoria, p. 24; Anexo I, pp. 47–48</x:v>
      </x:c>
      <x:c r="E11" s="23" t="str">
        <x:v>14–15</x:v>
      </x:c>
      <x:c r="F11" s="23" t="str">
        <x:v>33_Conciliacion_biomedica!A4:P19; 34_Certificacion_nota!A4:C22</x:v>
      </x:c>
      <x:c r="G11" s="23" t="str">
        <x:v>Inventario</x:v>
      </x:c>
      <x:c r="H11" s="23" t="str">
        <x:v>12 vínculos por clave; 2 descriptivos; 8631 sin reporte individual</x:v>
      </x:c>
    </x:row>
    <x:row r="12" ht="40" customHeight="1">
      <x:c r="A12" s="23" t="str">
        <x:v>Costos CAIMI</x:v>
      </x:c>
      <x:c r="B12" s="23" t="str">
        <x:v>24-CAIMI-2023-2026-1-SEM.xlsx; anexo aceptado hoja 13</x:v>
      </x:c>
      <x:c r="C12" s="23" t="str">
        <x:v>Costo por absorción y facturación por centro y periodo</x:v>
      </x:c>
      <x:c r="D12" s="23" t="str">
        <x:v>Caps. 19–23, pp. 28–33; Anexo D, p. 44</x:v>
      </x:c>
      <x:c r="E12" s="23" t="str">
        <x:v>19–20</x:v>
      </x:c>
      <x:c r="F12" s="23" t="str">
        <x:v>12_Costos_CAIMI!A4:B8; 13_Costos_por_centro!A4:Q32; 31_Conciliacion_Costos!A4:F8</x:v>
      </x:c>
      <x:c r="G12" s="23" t="str">
        <x:v>Costos</x:v>
      </x:c>
      <x:c r="H12" s="23" t="str">
        <x:v>Fuente oficial inalterada; diferencia interna $246.421.769,62</x:v>
      </x:c>
    </x:row>
    <x:row r="13" ht="40" customHeight="1">
      <x:c r="A13" s="23" t="str">
        <x:v>Metodología de costos</x:v>
      </x:c>
      <x:c r="B13" s="23" t="str">
        <x:v>11-Metodolog-a-de-Costeo-ESE-Carmen-Emilia-Ospina.pdf</x:v>
      </x:c>
      <x:c r="C13" s="23" t="str">
        <x:v>Costeo por absorción; distinguir resultado de costo y flujo de caja</x:v>
      </x:c>
      <x:c r="D13" s="23" t="str">
        <x:v>Cap. 19, p. 28</x:v>
      </x:c>
      <x:c r="E13" s="23" t="str">
        <x:v>19–20</x:v>
      </x:c>
      <x:c r="F13" s="23" t="str">
        <x:v>13_Costos_por_centro; 31_Conciliacion_Costos</x:v>
      </x:c>
      <x:c r="G13" s="23" t="str">
        <x:v>Costos</x:v>
      </x:c>
      <x:c r="H13" s="23" t="str">
        <x:v>La certificación no redefine depreciación ni CAPEX</x:v>
      </x:c>
    </x:row>
    <x:row r="14" ht="44" customHeight="1">
      <x:c r="A14" s="23" t="str">
        <x:v>Estados financieros institucionales</x:v>
      </x:c>
      <x:c r="B14" s="23" t="str">
        <x:v>EEFF 2024 p. 2; EEFF 2025 p. 2; EEFF a 30/06/2026 p. 1</x:v>
      </x:c>
      <x:c r="C14" s="23" t="str">
        <x:v>Activo corriente, pasivo corriente, capital de trabajo y resultado institucional</x:v>
      </x:c>
      <x:c r="D14" s="23" t="str">
        <x:v>Caps. 17–18, pp. 27–28</x:v>
      </x:c>
      <x:c r="E14" s="23" t="str">
        <x:v>18</x:v>
      </x:c>
      <x:c r="F14" s="23" t="str">
        <x:v>14_Estados_financieros!A4:M8; 15_Indicadores_financieros!A4:G8</x:v>
      </x:c>
      <x:c r="G14" s="23" t="str">
        <x:v>Finanzas</x:v>
      </x:c>
      <x:c r="H14" s="23" t="str">
        <x:v>Total E.S.E.; no centro CAIMI</x:v>
      </x:c>
    </x:row>
    <x:row r="15" ht="40" customHeight="1">
      <x:c r="A15" s="23" t="str">
        <x:v>Glosas</x:v>
      </x:c>
      <x:c r="B15" s="23" t="str">
        <x:v>GLOSAS-1.xlsx y base aprobada</x:v>
      </x:c>
      <x:c r="C15" s="23" t="str">
        <x:v>812 registros por entidad y causal</x:v>
      </x:c>
      <x:c r="D15" s="23" t="str">
        <x:v>Cap. 22, p. 30; Anexo H, p. 47</x:v>
      </x:c>
      <x:c r="E15" s="23" t="str">
        <x:v>21</x:v>
      </x:c>
      <x:c r="F15" s="23" t="str">
        <x:v>16_Glosas_EPS!A4:B10; 17_Glosas_conceptos!A4:B10</x:v>
      </x:c>
      <x:c r="G15" s="23" t="str">
        <x:v>Glosas</x:v>
      </x:c>
      <x:c r="H15" s="23" t="str">
        <x:v>Conteos; importe monetario no acreditado</x:v>
      </x:c>
    </x:row>
    <x:row r="16" ht="40" customHeight="1">
      <x:c r="A16" s="23" t="str">
        <x:v>Escenarios y modelo ilustrativo</x:v>
      </x:c>
      <x:c r="B16" s="23" t="str">
        <x:v>Calificaciones originales de hoja 20; datos anuales 2025; supuestos declarados</x:v>
      </x:c>
      <x:c r="C16" s="23" t="str">
        <x:v>Pesos uniformes 12,5%; calificaciones sin alteración; sensibilidad editable</x:v>
      </x:c>
      <x:c r="D16" s="23" t="str">
        <x:v>Caps. 24–29, pp. 34–37; Anexo E, p. 45</x:v>
      </x:c>
      <x:c r="E16" s="23" t="str">
        <x:v>3, 22–26</x:v>
      </x:c>
      <x:c r="F16" s="23" t="str">
        <x:v>20_Matriz_escenarios!A4:J24; 21_Modelo_financiero!A4:J23</x:v>
      </x:c>
      <x:c r="G16" s="23" t="str">
        <x:v>Escenarios</x:v>
      </x:c>
      <x:c r="H16" s="23" t="str">
        <x:v>No forzar ranking ni inferir rentabilidad contractual</x:v>
      </x:c>
    </x:row>
    <x:row r="17" ht="44" customHeight="1">
      <x:c r="A17" s="23" t="str">
        <x:v>Implementación e indicadores</x:v>
      </x:c>
      <x:c r="B17" s="23" t="str">
        <x:v>Hoja de ruta, riesgos e indicadores del estudio</x:v>
      </x:c>
      <x:c r="C17" s="23" t="str">
        <x:v>Acciones sugeridas; metas diferenciadas de resultados</x:v>
      </x:c>
      <x:c r="D17" s="23" t="str">
        <x:v>Caps. 30–32, pp. 38–39; Anexos F–G, pp. 45–46</x:v>
      </x:c>
      <x:c r="E17" s="23" t="str">
        <x:v>27–29</x:v>
      </x:c>
      <x:c r="F17" s="23" t="str">
        <x:v>23_Indicadores; 24_Riesgos; 25_Hoja_ruta</x:v>
      </x:c>
      <x:c r="G17" s="23" t="str">
        <x:v>Hoja de ruta / Indicadores / Riesgos</x:v>
      </x:c>
      <x:c r="H17" s="23" t="str">
        <x:v>Responsables sujetos a designación institucional</x:v>
      </x:c>
    </x:row>
    <x:row r="18" ht="44" customHeight="1">
      <x:c r="A18" s="23" t="str">
        <x:v>RIPS y FEV</x:v>
      </x:c>
      <x:c r="B18" s="23" t="str">
        <x:v>https://www.minsalud.gov.co/sites/rid/Lists/BibliotecaDigital/RIDE/DE/DIJ/resolucion-0948-de-2026.pdf</x:v>
      </x:c>
      <x:c r="C18" s="23" t="str">
        <x:v>Resolución 0948 de 2026; deroga 2275/2023, 558/2024 y 1884/2024</x:v>
      </x:c>
      <x:c r="D18" s="23" t="str">
        <x:v>Cap. 4, p. 10; Anexo J, p. 49</x:v>
      </x:c>
      <x:c r="E18" s="23" t="str">
        <x:v>17, 21</x:v>
      </x:c>
      <x:c r="F18" s="23" t="str">
        <x:v>27_Marco_normativo!A4:D11</x:v>
      </x:c>
      <x:c r="G18" s="23" t="str">
        <x:v>Normativa</x:v>
      </x:c>
      <x:c r="H18" s="23" t="str">
        <x:v>Fuente oficial verificada durante la actualización</x:v>
      </x:c>
    </x:row>
    <x:row r="19" ht="44" customHeight="1">
      <x:c r="A19" s="23" t="str">
        <x:v>Radicación y barreras</x:v>
      </x:c>
      <x:c r="B19" s="23" t="str">
        <x:v>https://www.minsalud.gov.co/sites/rid/Lists/BibliotecaDigital/RIDE/DE/DIJ/circular-conjunta-007-de-2025.pdf</x:v>
      </x:c>
      <x:c r="C19" s="23" t="str">
        <x:v>Circular Conjunta 007 de 2025, MinSalud–Supersalud; no requisitos adicionales no normados</x:v>
      </x:c>
      <x:c r="D19" s="23" t="str">
        <x:v>Cap. 4, p. 10; Anexo J, p. 49</x:v>
      </x:c>
      <x:c r="E19" s="23" t="str">
        <x:v>17, 21</x:v>
      </x:c>
      <x:c r="F19" s="23" t="str">
        <x:v>27_Marco_normativo!A4:D11</x:v>
      </x:c>
      <x:c r="G19" s="23" t="str">
        <x:v>Normativa</x:v>
      </x:c>
      <x:c r="H19" s="23" t="str">
        <x:v>Fuente oficial verificada durante la actualización</x:v>
      </x:c>
    </x:row>
    <x:row r="20" ht="44" customHeight="1">
      <x:c r="A20" s="23" t="str">
        <x:v>Contratación E.S.E.</x:v>
      </x:c>
      <x:c r="B20" s="23" t="str">
        <x:v>https://normograma.supersalud.gov.co/compilacion/docs/resolucion_minsaludps_2053_2025.htm</x:v>
      </x:c>
      <x:c r="C20" s="23" t="str">
        <x:v>Resolución 2053 de 2025 modifica artículo 9 de Resolución 5185, modificado por 1440/2024</x:v>
      </x:c>
      <x:c r="D20" s="23" t="str">
        <x:v>Cap. 4, p. 10; Anexo J, p. 49</x:v>
      </x:c>
      <x:c r="E20" s="23" t="str">
        <x:v>26</x:v>
      </x:c>
      <x:c r="F20" s="23" t="str">
        <x:v>27_Marco_normativo!A4:D11</x:v>
      </x:c>
      <x:c r="G20" s="23" t="str">
        <x:v>Normativa</x:v>
      </x:c>
      <x:c r="H20" s="23" t="str">
        <x:v>Fuente oficial verificada durante la actualización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b500d24c8c7f46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baseColWidth="10" defaultColWidth="9" defaultRowHeight="14.25"/>
  <x:cols>
    <x:col min="1" max="1" width="11" style="11" hidden="0" customWidth="1"/>
    <x:col min="2" max="2" width="61" style="5" hidden="0" customWidth="1"/>
    <x:col min="3" max="3" width="52" style="5" hidden="0" customWidth="1"/>
    <x:col min="4" max="4" width="48" style="5" hidden="0" customWidth="1"/>
    <x:col min="5" max="16384" width="9" style="5" customWidth="1"/>
    <x:col min="5" max="5" width="90" hidden="0" customWidth="1"/>
    <x:col min="6" max="6" width="27" hidden="0" customWidth="1"/>
    <x:col min="7" max="7" width="43" hidden="0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30 láminas reales. Conserva las 28 secciones originales y añade la aclaración biomédica en las láminas 14–15.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Lámina</x:v>
      </x:c>
      <x:c r="B4" s="26" t="str">
        <x:v>Título final</x:v>
      </x:c>
      <x:c r="C4" s="26" t="str">
        <x:v>Tema / mensaje</x:v>
      </x:c>
      <x:c r="D4" s="26" t="str">
        <x:v>Informe / página</x:v>
      </x:c>
      <x:c r="E4" s="26" t="str">
        <x:v>Anexo: hoja y rango</x:v>
      </x:c>
      <x:c r="F4" s="26" t="str">
        <x:v>Módulo web</x:v>
      </x:c>
      <x:c r="G4" s="26" t="str">
        <x:v>Control de actualización</x:v>
      </x:c>
    </x:row>
    <x:row r="5" ht="40" customHeight="1">
      <x:c r="A5" s="39" t="n">
        <x:v>1</x:v>
      </x:c>
      <x:c r="B5" s="22" t="str">
        <x:v>Evaluación integral del CAIMI</x:v>
      </x:c>
      <x:c r="C5" s="22" t="str">
        <x:v>Portada y alcance</x:v>
      </x:c>
      <x:c r="D5" s="23" t="str">
        <x:v>Portada, p. 1</x:v>
      </x:c>
      <x:c r="E5" s="23" t="str">
        <x:v>01_Portada</x:v>
      </x:c>
      <x:c r="F5" s="23" t="str">
        <x:v>Resumen</x:v>
      </x:c>
      <x:c r="G5" s="23" t="str">
        <x:v>Actualiza lámina base 1</x:v>
      </x:c>
    </x:row>
    <x:row r="6" ht="40" customHeight="1">
      <x:c r="A6" s="39" t="n">
        <x:v>2</x:v>
      </x:c>
      <x:c r="B6" s="22" t="str">
        <x:v>Resumen ejecutivo</x:v>
      </x:c>
      <x:c r="C6" s="22" t="str">
        <x:v>Resumen ejecutivo</x:v>
      </x:c>
      <x:c r="D6" s="23" t="str">
        <x:v>Resumen ejecutivo, pp. 5–6</x:v>
      </x:c>
      <x:c r="E6" s="23" t="str">
        <x:v>03_Dashboard_Ejecutivo</x:v>
      </x:c>
      <x:c r="F6" s="23" t="str">
        <x:v>Resumen</x:v>
      </x:c>
      <x:c r="G6" s="23" t="str">
        <x:v>Actualiza lámina base 2</x:v>
      </x:c>
    </x:row>
    <x:row r="7" ht="40" customHeight="1">
      <x:c r="A7" s="39" t="n">
        <x:v>3</x:v>
      </x:c>
      <x:c r="B7" s="22" t="str">
        <x:v>Decisión estratégica recomendada</x:v>
      </x:c>
      <x:c r="C7" s="22" t="str">
        <x:v>Recomendación estratégica</x:v>
      </x:c>
      <x:c r="D7" s="23" t="str">
        <x:v>Cap. 29, p. 36</x:v>
      </x:c>
      <x:c r="E7" s="23" t="str">
        <x:v>20_Matriz_escenarios</x:v>
      </x:c>
      <x:c r="F7" s="23" t="str">
        <x:v>Escenarios</x:v>
      </x:c>
      <x:c r="G7" s="23" t="str">
        <x:v>Actualiza lámina base 3</x:v>
      </x:c>
    </x:row>
    <x:row r="8" ht="40" customHeight="1">
      <x:c r="A8" s="39" t="n">
        <x:v>4</x:v>
      </x:c>
      <x:c r="B8" s="22" t="str">
        <x:v>Alcance y cumplimiento contractual</x:v>
      </x:c>
      <x:c r="C8" s="22" t="str">
        <x:v>Alcance contractual y cierre documental</x:v>
      </x:c>
      <x:c r="D8" s="23" t="str">
        <x:v>Cap. 1, p. 8</x:v>
      </x:c>
      <x:c r="E8" s="23" t="str">
        <x:v>26_Cumplimiento_contrato</x:v>
      </x:c>
      <x:c r="F8" s="23" t="str">
        <x:v>Documentos</x:v>
      </x:c>
      <x:c r="G8" s="23" t="str">
        <x:v>Actualiza lámina base 4</x:v>
      </x:c>
    </x:row>
    <x:row r="9" ht="40" customHeight="1">
      <x:c r="A9" s="39" t="n">
        <x:v>5</x:v>
      </x:c>
      <x:c r="B9" s="22" t="str">
        <x:v>Metodología</x:v>
      </x:c>
      <x:c r="C9" s="22" t="str">
        <x:v>Metodología</x:v>
      </x:c>
      <x:c r="D9" s="23" t="str">
        <x:v>Cap. 2, p. 9</x:v>
      </x:c>
      <x:c r="E9" s="23" t="str">
        <x:v>04_Fuentes_trazabilidad; 05_Control_totales</x:v>
      </x:c>
      <x:c r="F9" s="23" t="str">
        <x:v>Metodología</x:v>
      </x:c>
      <x:c r="G9" s="23" t="str">
        <x:v>Actualiza lámina base 5</x:v>
      </x:c>
    </x:row>
    <x:row r="10" ht="40" customHeight="1">
      <x:c r="A10" s="39" t="n">
        <x:v>6</x:v>
      </x:c>
      <x:c r="B10" s="22" t="str">
        <x:v>Calidad de información y gobierno de datos</x:v>
      </x:c>
      <x:c r="C10" s="22" t="str">
        <x:v>Calidad y limitaciones de información</x:v>
      </x:c>
      <x:c r="D10" s="23" t="str">
        <x:v>Cap. 3, p. 10</x:v>
      </x:c>
      <x:c r="E10" s="23" t="str">
        <x:v>06_Calidad_datos</x:v>
      </x:c>
      <x:c r="F10" s="23" t="str">
        <x:v>Datos</x:v>
      </x:c>
      <x:c r="G10" s="23" t="str">
        <x:v>Actualiza lámina base 6</x:v>
      </x:c>
    </x:row>
    <x:row r="11" ht="40" customHeight="1">
      <x:c r="A11" s="39" t="n">
        <x:v>7</x:v>
      </x:c>
      <x:c r="B11" s="22" t="str">
        <x:v>Demanda atendida</x:v>
      </x:c>
      <x:c r="C11" s="22" t="str">
        <x:v>Demanda atendida</x:v>
      </x:c>
      <x:c r="D11" s="23" t="str">
        <x:v>Cap. 6, p. 13</x:v>
      </x:c>
      <x:c r="E11" s="23" t="str">
        <x:v>07_Pacientes</x:v>
      </x:c>
      <x:c r="F11" s="23" t="str">
        <x:v>Demanda</x:v>
      </x:c>
      <x:c r="G11" s="23" t="str">
        <x:v>Actualiza lámina base 7</x:v>
      </x:c>
    </x:row>
    <x:row r="12" ht="40" customHeight="1">
      <x:c r="A12" s="39" t="n">
        <x:v>8</x:v>
      </x:c>
      <x:c r="B12" s="23" t="str">
        <x:v>Producción de servicios</x:v>
      </x:c>
      <x:c r="C12" s="23" t="str">
        <x:v>Producción de servicios</x:v>
      </x:c>
      <x:c r="D12" s="23" t="str">
        <x:v>Cap. 8, p. 15; Anexo A, p. 42</x:v>
      </x:c>
      <x:c r="E12" s="23" t="str">
        <x:v>08_Produccion_servicios</x:v>
      </x:c>
      <x:c r="F12" s="23" t="str">
        <x:v>Producción</x:v>
      </x:c>
      <x:c r="G12" s="23" t="str">
        <x:v>Actualiza lámina base 8</x:v>
      </x:c>
    </x:row>
    <x:row r="13" ht="40" customHeight="1">
      <x:c r="A13" s="39" t="n">
        <x:v>9</x:v>
      </x:c>
      <x:c r="B13" s="23" t="str">
        <x:v>Perfil epidemiológico y episodios trazadores</x:v>
      </x:c>
      <x:c r="C13" s="23" t="str">
        <x:v>Perfil epidemiológico y episodios</x:v>
      </x:c>
      <x:c r="D13" s="23" t="str">
        <x:v>Caps. 9–10, pp. 16–18</x:v>
      </x:c>
      <x:c r="E13" s="23" t="str">
        <x:v>10_Sexo_edad; 11_Diagnosticos_episodios</x:v>
      </x:c>
      <x:c r="F13" s="23" t="str">
        <x:v>RIPS</x:v>
      </x:c>
      <x:c r="G13" s="23" t="str">
        <x:v>Actualiza lámina base 9</x:v>
      </x:c>
    </x:row>
    <x:row r="14" ht="40" customHeight="1">
      <x:c r="A14" s="39" t="n">
        <x:v>10</x:v>
      </x:c>
      <x:c r="B14" s="23" t="str">
        <x:v>Lectura técnico-científica</x:v>
      </x:c>
      <x:c r="C14" s="23" t="str">
        <x:v>Análisis técnico-científico</x:v>
      </x:c>
      <x:c r="D14" s="23" t="str">
        <x:v>Cap. 11, p. 19</x:v>
      </x:c>
      <x:c r="E14" s="23" t="str">
        <x:v>11_Diagnosticos_episodios</x:v>
      </x:c>
      <x:c r="F14" s="23" t="str">
        <x:v>RIPS</x:v>
      </x:c>
      <x:c r="G14" s="23" t="str">
        <x:v>Actualiza lámina base 10</x:v>
      </x:c>
    </x:row>
    <x:row r="15" ht="40" customHeight="1">
      <x:c r="A15" s="39" t="n">
        <x:v>11</x:v>
      </x:c>
      <x:c r="B15" s="23" t="str">
        <x:v>Valor público sanitario y territorial</x:v>
      </x:c>
      <x:c r="C15" s="23" t="str">
        <x:v>Valor público sanitario y territorial</x:v>
      </x:c>
      <x:c r="D15" s="23" t="str">
        <x:v>Cap. 12, p. 20</x:v>
      </x:c>
      <x:c r="E15" s="23" t="str">
        <x:v>20_Matriz_escenarios</x:v>
      </x:c>
      <x:c r="F15" s="23" t="str">
        <x:v>Escenarios</x:v>
      </x:c>
      <x:c r="G15" s="23" t="str">
        <x:v>Actualiza lámina base 11</x:v>
      </x:c>
    </x:row>
    <x:row r="16" ht="40" customHeight="1">
      <x:c r="A16" s="39" t="n">
        <x:v>12</x:v>
      </x:c>
      <x:c r="B16" s="23" t="str">
        <x:v>Capacidad instalada y procesos críticos</x:v>
      </x:c>
      <x:c r="C16" s="23" t="str">
        <x:v>Capacidad instalada y procesos</x:v>
      </x:c>
      <x:c r="D16" s="23" t="str">
        <x:v>Cap. 13, p. 22</x:v>
      </x:c>
      <x:c r="E16" s="23" t="str">
        <x:v>18_Equipos_biomedicos; 19_Talento_ausentismo</x:v>
      </x:c>
      <x:c r="F16" s="23" t="str">
        <x:v>Inventario</x:v>
      </x:c>
      <x:c r="G16" s="23" t="str">
        <x:v>Actualiza lámina base 12</x:v>
      </x:c>
    </x:row>
    <x:row r="17" ht="40" customHeight="1">
      <x:c r="A17" s="39" t="n">
        <x:v>13</x:v>
      </x:c>
      <x:c r="B17" s="23" t="str">
        <x:v>Equipos biomédicos: inventario consolidado</x:v>
      </x:c>
      <x:c r="C17" s="23" t="str">
        <x:v>Inventario biomédico consolidado</x:v>
      </x:c>
      <x:c r="D17" s="23" t="str">
        <x:v>Cap. 14, pp. 22–24; Anexo I, p. 47</x:v>
      </x:c>
      <x:c r="E17" s="23" t="str">
        <x:v>18_Equipos_biomedicos!A4:D22; 32_Inventario_biomedico!A4:V198</x:v>
      </x:c>
      <x:c r="F17" s="23" t="str">
        <x:v>Inventario</x:v>
      </x:c>
      <x:c r="G17" s="23" t="str">
        <x:v>Actualiza lámina base 13</x:v>
      </x:c>
    </x:row>
    <x:row r="18" ht="40" customHeight="1">
      <x:c r="A18" s="39" t="n">
        <x:v>14</x:v>
      </x:c>
      <x:c r="B18" s="23" t="str">
        <x:v>Certificación biomédica: alcance de la aclaración</x:v>
      </x:c>
      <x:c r="C18" s="23" t="str">
        <x:v>Nota aclaratoria y alcance de certificación</x:v>
      </x:c>
      <x:c r="D18" s="23" t="str">
        <x:v>Nota aclaratoria, p. 24; Anexo I, p. 48</x:v>
      </x:c>
      <x:c r="E18" s="23" t="str">
        <x:v>33_Conciliacion_biomedica!A4:P19; 34_Certificacion_nota!A4:C22</x:v>
      </x:c>
      <x:c r="F18" s="23" t="str">
        <x:v>Inventario</x:v>
      </x:c>
      <x:c r="G18" s="23" t="str">
        <x:v>Nueva: certificación biomédica</x:v>
      </x:c>
    </x:row>
    <x:row r="19" ht="40" customHeight="1">
      <x:c r="A19" s="39" t="n">
        <x:v>15</x:v>
      </x:c>
      <x:c r="B19" s="23" t="str">
        <x:v>Equipos biomédicos: acciones individualizadas</x:v>
      </x:c>
      <x:c r="C19" s="23" t="str">
        <x:v>Plan de acciones biomédicas</x:v>
      </x:c>
      <x:c r="D19" s="23" t="str">
        <x:v>Cap. 14, pp. 22–24; Anexo I, p. 48</x:v>
      </x:c>
      <x:c r="E19" s="23" t="str">
        <x:v>33_Conciliacion_biomedica!A4:P19; 32_Inventario_biomedico!A4:V198</x:v>
      </x:c>
      <x:c r="F19" s="23" t="str">
        <x:v>Inventario</x:v>
      </x:c>
      <x:c r="G19" s="23" t="str">
        <x:v>Nueva: certificación biomédica</x:v>
      </x:c>
    </x:row>
    <x:row r="20" ht="40" customHeight="1">
      <x:c r="A20" s="39" t="n">
        <x:v>16</x:v>
      </x:c>
      <x:c r="B20" s="23" t="str">
        <x:v>Talento humano, ausentismo y productividad</x:v>
      </x:c>
      <x:c r="C20" s="23" t="str">
        <x:v>Talento humano y ausentismo</x:v>
      </x:c>
      <x:c r="D20" s="23" t="str">
        <x:v>Cap. 15, p. 24</x:v>
      </x:c>
      <x:c r="E20" s="23" t="str">
        <x:v>19_Talento_ausentismo</x:v>
      </x:c>
      <x:c r="F20" s="23" t="str">
        <x:v>Talento</x:v>
      </x:c>
      <x:c r="G20" s="23" t="str">
        <x:v>Actualiza lámina base 14</x:v>
      </x:c>
    </x:row>
    <x:row r="21" ht="40" customHeight="1">
      <x:c r="A21" s="39" t="n">
        <x:v>17</x:v>
      </x:c>
      <x:c r="B21" s="23" t="str">
        <x:v>Gobierno de datos y sistema de información</x:v>
      </x:c>
      <x:c r="C21" s="23" t="str">
        <x:v>Gobierno de datos</x:v>
      </x:c>
      <x:c r="D21" s="23" t="str">
        <x:v>Cap. 16, p. 25</x:v>
      </x:c>
      <x:c r="E21" s="23" t="str">
        <x:v>06_Calidad_datos</x:v>
      </x:c>
      <x:c r="F21" s="23" t="str">
        <x:v>RIPS</x:v>
      </x:c>
      <x:c r="G21" s="23" t="str">
        <x:v>Actualiza lámina base 15</x:v>
      </x:c>
    </x:row>
    <x:row r="22" ht="40" customHeight="1">
      <x:c r="A22" s="39" t="n">
        <x:v>18</x:v>
      </x:c>
      <x:c r="B22" s="23" t="str">
        <x:v>Contexto financiero institucional</x:v>
      </x:c>
      <x:c r="C22" s="23" t="str">
        <x:v>Contexto financiero institucional</x:v>
      </x:c>
      <x:c r="D22" s="23" t="str">
        <x:v>Caps. 17–18, pp. 27–28</x:v>
      </x:c>
      <x:c r="E22" s="23" t="str">
        <x:v>14_Estados_financieros; 15_Indicadores_financieros</x:v>
      </x:c>
      <x:c r="F22" s="23" t="str">
        <x:v>Finanzas</x:v>
      </x:c>
      <x:c r="G22" s="23" t="str">
        <x:v>Actualiza lámina base 16</x:v>
      </x:c>
    </x:row>
    <x:row r="23" ht="40" customHeight="1">
      <x:c r="A23" s="39" t="n">
        <x:v>19</x:v>
      </x:c>
      <x:c r="B23" s="23" t="str">
        <x:v>Costos reportados del CAIMI</x:v>
      </x:c>
      <x:c r="C23" s="23" t="str">
        <x:v>Costos y facturación CAIMI</x:v>
      </x:c>
      <x:c r="D23" s="23" t="str">
        <x:v>Cap. 20, p. 29; Anexo D, p. 44</x:v>
      </x:c>
      <x:c r="E23" s="23" t="str">
        <x:v>12_Costos_CAIMI; 31_Conciliacion_Costos</x:v>
      </x:c>
      <x:c r="F23" s="23" t="str">
        <x:v>Costos</x:v>
      </x:c>
      <x:c r="G23" s="23" t="str">
        <x:v>Actualiza lámina base 17</x:v>
      </x:c>
    </x:row>
    <x:row r="24" ht="40" customHeight="1">
      <x:c r="A24" s="39" t="n">
        <x:v>20</x:v>
      </x:c>
      <x:c r="B24" s="23" t="str">
        <x:v>Centros de costo</x:v>
      </x:c>
      <x:c r="C24" s="23" t="str">
        <x:v>Centros de costo</x:v>
      </x:c>
      <x:c r="D24" s="23" t="str">
        <x:v>Cap. 21, p. 30; Anexo D, p. 44</x:v>
      </x:c>
      <x:c r="E24" s="23" t="str">
        <x:v>13_Costos_por_centro</x:v>
      </x:c>
      <x:c r="F24" s="23" t="str">
        <x:v>Costos</x:v>
      </x:c>
      <x:c r="G24" s="23" t="str">
        <x:v>Actualiza lámina base 18</x:v>
      </x:c>
    </x:row>
    <x:row r="25" ht="40" customHeight="1">
      <x:c r="A25" s="39" t="n">
        <x:v>21</x:v>
      </x:c>
      <x:c r="B25" s="23" t="str">
        <x:v>Facturación, RIPS, glosas y recaudo</x:v>
      </x:c>
      <x:c r="C25" s="23" t="str">
        <x:v>Facturación, glosas y recaudo</x:v>
      </x:c>
      <x:c r="D25" s="23" t="str">
        <x:v>Cap. 22, p. 30; Anexo H, p. 47</x:v>
      </x:c>
      <x:c r="E25" s="23" t="str">
        <x:v>16_Glosas_EPS; 17_Glosas_conceptos</x:v>
      </x:c>
      <x:c r="F25" s="23" t="str">
        <x:v>Glosas</x:v>
      </x:c>
      <x:c r="G25" s="23" t="str">
        <x:v>Actualiza lámina base 19</x:v>
      </x:c>
    </x:row>
    <x:row r="26" ht="40" customHeight="1">
      <x:c r="A26" s="39" t="n">
        <x:v>22</x:v>
      </x:c>
      <x:c r="B26" s="23" t="str">
        <x:v>Escenario 1 · Continuidad optimizada</x:v>
      </x:c>
      <x:c r="C26" s="23" t="str">
        <x:v>Escenario de continuidad</x:v>
      </x:c>
      <x:c r="D26" s="23" t="str">
        <x:v>Cap. 25, p. 34</x:v>
      </x:c>
      <x:c r="E26" s="23" t="str">
        <x:v>20_Matriz_escenarios</x:v>
      </x:c>
      <x:c r="F26" s="23" t="str">
        <x:v>Escenarios</x:v>
      </x:c>
      <x:c r="G26" s="23" t="str">
        <x:v>Actualiza lámina base 20</x:v>
      </x:c>
    </x:row>
    <x:row r="27" ht="40" customHeight="1">
      <x:c r="A27" s="39" t="n">
        <x:v>23</x:v>
      </x:c>
      <x:c r="B27" s="23" t="str">
        <x:v>Escenario 2 · Tercerización condicionada</x:v>
      </x:c>
      <x:c r="C27" s="23" t="str">
        <x:v>Escenario de tercerización</x:v>
      </x:c>
      <x:c r="D27" s="23" t="str">
        <x:v>Cap. 26, p. 34</x:v>
      </x:c>
      <x:c r="E27" s="23" t="str">
        <x:v>20_Matriz_escenarios</x:v>
      </x:c>
      <x:c r="F27" s="23" t="str">
        <x:v>Escenarios</x:v>
      </x:c>
      <x:c r="G27" s="23" t="str">
        <x:v>Actualiza lámina base 21</x:v>
      </x:c>
    </x:row>
    <x:row r="28" ht="40" customHeight="1">
      <x:c r="A28" s="39" t="n">
        <x:v>24</x:v>
      </x:c>
      <x:c r="B28" s="23" t="str">
        <x:v>Escenario 3 · Cierre o reconversión</x:v>
      </x:c>
      <x:c r="C28" s="23" t="str">
        <x:v>Escenario de cierre/reconversión</x:v>
      </x:c>
      <x:c r="D28" s="23" t="str">
        <x:v>Cap. 27, p. 35</x:v>
      </x:c>
      <x:c r="E28" s="23" t="str">
        <x:v>20_Matriz_escenarios</x:v>
      </x:c>
      <x:c r="F28" s="23" t="str">
        <x:v>Escenarios</x:v>
      </x:c>
      <x:c r="G28" s="23" t="str">
        <x:v>Actualiza lámina base 22</x:v>
      </x:c>
    </x:row>
    <x:row r="29" ht="40" customHeight="1">
      <x:c r="A29" s="39" t="n">
        <x:v>25</x:v>
      </x:c>
      <x:c r="B29" s="23" t="str">
        <x:v>Comparación multicriterio y sensibilidad</x:v>
      </x:c>
      <x:c r="C29" s="23" t="str">
        <x:v>Comparación y sensibilidad</x:v>
      </x:c>
      <x:c r="D29" s="23" t="str">
        <x:v>Cap. 28, p. 36; Anexo E, p. 45</x:v>
      </x:c>
      <x:c r="E29" s="23" t="str">
        <x:v>20_Matriz_escenarios; 22_Sensibilidad</x:v>
      </x:c>
      <x:c r="F29" s="23" t="str">
        <x:v>Escenarios</x:v>
      </x:c>
      <x:c r="G29" s="23" t="str">
        <x:v>Actualiza lámina base 23</x:v>
      </x:c>
    </x:row>
    <x:row r="30" ht="40" customHeight="1">
      <x:c r="A30" s="39" t="n">
        <x:v>26</x:v>
      </x:c>
      <x:c r="B30" s="23" t="str">
        <x:v>Salvaguardas para la decisión</x:v>
      </x:c>
      <x:c r="C30" s="23" t="str">
        <x:v>Salvaguardas de implementación</x:v>
      </x:c>
      <x:c r="D30" s="23" t="str">
        <x:v>Cap. 29, p. 36</x:v>
      </x:c>
      <x:c r="E30" s="23" t="str">
        <x:v>24_Riesgos</x:v>
      </x:c>
      <x:c r="F30" s="23" t="str">
        <x:v>Escenarios</x:v>
      </x:c>
      <x:c r="G30" s="23" t="str">
        <x:v>Actualiza lámina base 24</x:v>
      </x:c>
    </x:row>
    <x:row r="31" ht="40" customHeight="1">
      <x:c r="A31" s="39" t="n">
        <x:v>27</x:v>
      </x:c>
      <x:c r="B31" s="23" t="str">
        <x:v>Riesgos críticos y mitigación</x:v>
      </x:c>
      <x:c r="C31" s="23" t="str">
        <x:v>Riesgos y mitigación</x:v>
      </x:c>
      <x:c r="D31" s="23" t="str">
        <x:v>Cap. 32, p. 39</x:v>
      </x:c>
      <x:c r="E31" s="23" t="str">
        <x:v>24_Riesgos</x:v>
      </x:c>
      <x:c r="F31" s="23" t="str">
        <x:v>Riesgos</x:v>
      </x:c>
      <x:c r="G31" s="23" t="str">
        <x:v>Actualiza lámina base 25</x:v>
      </x:c>
    </x:row>
    <x:row r="32" ht="40" customHeight="1">
      <x:c r="A32" s="39" t="n">
        <x:v>28</x:v>
      </x:c>
      <x:c r="B32" s="23" t="str">
        <x:v>Hoja de ruta de implementación</x:v>
      </x:c>
      <x:c r="C32" s="23" t="str">
        <x:v>Hoja de ruta</x:v>
      </x:c>
      <x:c r="D32" s="23" t="str">
        <x:v>Cap. 30, p. 38; Anexo G, p. 46</x:v>
      </x:c>
      <x:c r="E32" s="23" t="str">
        <x:v>25_Hoja_ruta</x:v>
      </x:c>
      <x:c r="F32" s="23" t="str">
        <x:v>Hoja de ruta</x:v>
      </x:c>
      <x:c r="G32" s="23" t="str">
        <x:v>Actualiza lámina base 26</x:v>
      </x:c>
    </x:row>
    <x:row r="33" ht="40" customHeight="1">
      <x:c r="A33" s="39" t="n">
        <x:v>29</x:v>
      </x:c>
      <x:c r="B33" s="23" t="str">
        <x:v>Indicadores de seguimiento</x:v>
      </x:c>
      <x:c r="C33" s="23" t="str">
        <x:v>Indicadores y metas</x:v>
      </x:c>
      <x:c r="D33" s="23" t="str">
        <x:v>Cap. 31, p. 38; Anexo F, p. 45</x:v>
      </x:c>
      <x:c r="E33" s="23" t="str">
        <x:v>23_Indicadores</x:v>
      </x:c>
      <x:c r="F33" s="23" t="str">
        <x:v>Indicadores</x:v>
      </x:c>
      <x:c r="G33" s="23" t="str">
        <x:v>Actualiza lámina base 27</x:v>
      </x:c>
    </x:row>
    <x:row r="34" ht="40" customHeight="1">
      <x:c r="A34" s="39" t="n">
        <x:v>30</x:v>
      </x:c>
      <x:c r="B34" s="23" t="str">
        <x:v>Cierre ejecutivo</x:v>
      </x:c>
      <x:c r="C34" s="23" t="str">
        <x:v>Conclusiones y cierre documental</x:v>
      </x:c>
      <x:c r="D34" s="23" t="str">
        <x:v>Cap. 33, p. 39</x:v>
      </x:c>
      <x:c r="E34" s="23" t="str">
        <x:v>26_Cumplimiento_contrato</x:v>
      </x:c>
      <x:c r="F34" s="23" t="str">
        <x:v>Documentos</x:v>
      </x:c>
      <x:c r="G34" s="23" t="str">
        <x:v>Actualiza lámina base 28</x:v>
      </x:c>
    </x:row>
    <x:row r="35">
      <x:c r="A35" s="10"/>
      <x:c r="B35" s="3"/>
      <x:c r="C35" s="3"/>
      <x:c r="D35" s="3"/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2f46b72a0f884a8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baseColWidth="10" defaultColWidth="9" defaultRowHeight="14.25"/>
  <x:cols>
    <x:col min="1" max="1" width="46" style="5" hidden="0" customWidth="1"/>
    <x:col min="2" max="2" width="44" style="5" hidden="0" customWidth="1"/>
    <x:col min="3" max="3" width="88" style="5" hidden="0" customWidth="1"/>
    <x:col min="4" max="4" width="35" style="5" hidden="0" customWidth="1"/>
    <x:col min="5" max="5" width="48" style="5" hidden="0" customWidth="1"/>
    <x:col min="6" max="16384" width="9" style="5" customWidth="1"/>
    <x:col min="6" max="6" width="49" hidden="0" customWidth="1"/>
    <x:col min="7" max="7" width="24" hidden="0" customWidth="1"/>
    <x:col min="8" max="8" width="73" hidden="0" customWidth="1"/>
    <x:col min="9" max="9" width="28" hidden="0" customWidth="1"/>
    <x:col min="10" max="10" width="61" hidden="0" customWidth="1"/>
  </x:cols>
  <x:sheetData>
    <x:row r="1" ht="30" customHeight="1">
      <x:c r="A1" s="12" t="str">
        <x:v>Matriz de trazabilidad y cumplimiento CAIMI</x:v>
      </x:c>
      <x:c r="B1" s="13"/>
      <x:c r="C1" s="13"/>
      <x:c r="D1" s="13"/>
      <x:c r="E1" s="13"/>
      <x:c r="F1" s="13"/>
      <x:c r="G1" s="13"/>
      <x:c r="H1" s="13"/>
    </x:row>
    <x:row r="2" ht="38" customHeight="1">
      <x:c r="A2" s="16" t="str">
        <x:v>Riesgos de interpretación, implementación y cierre. Responsables sugeridos sujetos a designación institucional.</x:v>
      </x:c>
      <x:c r="B2" s="17"/>
      <x:c r="C2" s="17"/>
      <x:c r="D2" s="17"/>
      <x:c r="E2" s="17"/>
      <x:c r="F2" s="17"/>
      <x:c r="G2" s="17"/>
      <x:c r="H2" s="17"/>
    </x:row>
    <x:row r="3"/>
    <x:row r="4" ht="40" customHeight="1">
      <x:c r="A4" s="26" t="str">
        <x:v>Riesgo</x:v>
      </x:c>
      <x:c r="B4" s="26" t="str">
        <x:v>Impacto</x:v>
      </x:c>
      <x:c r="C4" s="26" t="str">
        <x:v>Mitigación / control</x:v>
      </x:c>
      <x:c r="D4" s="26" t="str">
        <x:v>Responsable sugerido</x:v>
      </x:c>
      <x:c r="E4" s="26" t="str">
        <x:v>Indicador / seguimiento</x:v>
      </x:c>
      <x:c r="F4" s="26" t="str">
        <x:v>Informe / página</x:v>
      </x:c>
      <x:c r="G4" s="26" t="str">
        <x:v>Diapositivas</x:v>
      </x:c>
      <x:c r="H4" s="26" t="str">
        <x:v>Anexo: hoja / rango</x:v>
      </x:c>
      <x:c r="I4" s="26" t="str">
        <x:v>Módulo web</x:v>
      </x:c>
      <x:c r="J4" s="26" t="str">
        <x:v>Estado / límite</x:v>
      </x:c>
    </x:row>
    <x:row r="5" ht="40" customHeight="1">
      <x:c r="A5" s="22" t="str">
        <x:v>Conciliación financiera integral pendiente</x:v>
      </x:c>
      <x:c r="B5" s="22" t="str">
        <x:v>Interpretación incompleta de sostenibilidad</x:v>
      </x:c>
      <x:c r="C5" s="22" t="str">
        <x:v>Cruzar costos, facturación, radicación, glosa monetaria, recaudo y cartera del mismo periodo</x:v>
      </x:c>
      <x:c r="D5" s="23" t="str">
        <x:v>Gerencia / Subgerencia</x:v>
      </x:c>
      <x:c r="E5" s="23" t="str">
        <x:v>Porcentaje de periodos conciliados</x:v>
      </x:c>
      <x:c r="F5" s="23" t="str">
        <x:v>Caps. 22–23, pp. 30–33</x:v>
      </x:c>
      <x:c r="G5" s="23" t="str">
        <x:v>21; 27</x:v>
      </x:c>
      <x:c r="H5" s="23" t="str">
        <x:v>31_Conciliacion_Costos; 21_Modelo_financiero</x:v>
      </x:c>
      <x:c r="I5" s="23" t="str">
        <x:v>Costos / Glosas</x:v>
      </x:c>
      <x:c r="J5" s="23" t="str">
        <x:v>Pendiente de datos monetarios adicionales</x:v>
      </x:c>
    </x:row>
    <x:row r="6" ht="40" customHeight="1">
      <x:c r="A6" s="22" t="str">
        <x:v>Glosas recurrentes</x:v>
      </x:c>
      <x:c r="B6" s="22" t="str">
        <x:v>Afectación de ingreso y cobro</x:v>
      </x:c>
      <x:c r="C6" s="22" t="str">
        <x:v>Auditoría concurrente; trazabilidad de causal y cuantía; no confundir 812 registros con dinero</x:v>
      </x:c>
      <x:c r="D6" s="23" t="str">
        <x:v>Facturación / Auditoría</x:v>
      </x:c>
      <x:c r="E6" s="23" t="str">
        <x:v>Valor monetario de glosas / facturación</x:v>
      </x:c>
      <x:c r="F6" s="23" t="str">
        <x:v>Cap. 22, p. 30</x:v>
      </x:c>
      <x:c r="G6" s="23" t="str">
        <x:v>21</x:v>
      </x:c>
      <x:c r="H6" s="23" t="str">
        <x:v>16_Glosas_EPS; 17_Glosas_conceptos; 23_Indicadores</x:v>
      </x:c>
      <x:c r="I6" s="23" t="str">
        <x:v>Glosas</x:v>
      </x:c>
      <x:c r="J6" s="23" t="str">
        <x:v>Tasa monetaria observada no determinada</x:v>
      </x:c>
    </x:row>
    <x:row r="7" ht="44" customHeight="1">
      <x:c r="A7" s="22" t="str">
        <x:v>Condición de equipos biomédicos</x:v>
      </x:c>
      <x:c r="B7" s="22" t="str">
        <x:v>Continuidad de prestación afectada</x:v>
      </x:c>
      <x:c r="C7" s="22" t="str">
        <x:v>Ejecutar recomendaciones técnicas, verificar intervención en proceso y documentar decisión por equipo</x:v>
      </x:c>
      <x:c r="D7" s="23" t="str">
        <x:v>Biomédica / Operación</x:v>
      </x:c>
      <x:c r="E7" s="23" t="str">
        <x:v>Acciones cerradas con soporte / acciones programadas</x:v>
      </x:c>
      <x:c r="F7" s="23" t="str">
        <x:v>Cap. 14, pp. 22–24; Anexo I, pp. 47–48</x:v>
      </x:c>
      <x:c r="G7" s="23" t="str">
        <x:v>13–15</x:v>
      </x:c>
      <x:c r="H7" s="23" t="str">
        <x:v>32_Inventario_biomedico; 33_Conciliacion_biomedica</x:v>
      </x:c>
      <x:c r="I7" s="23" t="str">
        <x:v>Inventario</x:v>
      </x:c>
      <x:c r="J7" s="23" t="str">
        <x:v>Localización no equivale a operatividad</x:v>
      </x:c>
    </x:row>
    <x:row r="8" ht="44" customHeight="1">
      <x:c r="A8" s="22" t="str">
        <x:v>Identificación biomédica pendiente</x:v>
      </x:c>
      <x:c r="B8" s="22" t="str">
        <x:v>Asociación incorrecta de activos o pérdida inferida</x:v>
      </x:c>
      <x:c r="C8" s="22" t="str">
        <x:v>Corroborar ítems 181/182, serie de placa 3404, duplicado 503352 y reporte de báscula 8631</x:v>
      </x:c>
      <x:c r="D8" s="23" t="str">
        <x:v>Biomédica / Almacén</x:v>
      </x:c>
      <x:c r="E8" s="23" t="str">
        <x:v>Casos corroborados con clave y soporte</x:v>
      </x:c>
      <x:c r="F8" s="23" t="str">
        <x:v>Nota aclaratoria, p. 24; Anexo I, p. 48</x:v>
      </x:c>
      <x:c r="G8" s="23" t="str">
        <x:v>14–15</x:v>
      </x:c>
      <x:c r="H8" s="23" t="str">
        <x:v>33_Conciliacion_biomedica; 34_Certificacion_nota</x:v>
      </x:c>
      <x:c r="I8" s="23" t="str">
        <x:v>Inventario</x:v>
      </x:c>
      <x:c r="J8" s="23" t="str">
        <x:v>Reservas individuales conservadas</x:v>
      </x:c>
    </x:row>
    <x:row r="9" ht="44" customHeight="1">
      <x:c r="A9" s="22" t="str">
        <x:v>Implementación de tercerización</x:v>
      </x:c>
      <x:c r="B9" s="22" t="str">
        <x:v>Pérdida de control, costos o continuidad</x:v>
      </x:c>
      <x:c r="C9" s="22" t="str">
        <x:v>Verificar capacidad, costos completos, reglas de contratación, indicadores y reversibilidad antes de decisión</x:v>
      </x:c>
      <x:c r="D9" s="23" t="str">
        <x:v>Jurídica / Supervisión / Gerencia</x:v>
      </x:c>
      <x:c r="E9" s="23" t="str">
        <x:v>Cumplimiento de salvaguardas</x:v>
      </x:c>
      <x:c r="F9" s="23" t="str">
        <x:v>Caps. 26–29, pp. 34–37</x:v>
      </x:c>
      <x:c r="G9" s="23" t="str">
        <x:v>23, 25–27</x:v>
      </x:c>
      <x:c r="H9" s="23" t="str">
        <x:v>20_Matriz_escenarios; 24_Riesgos</x:v>
      </x:c>
      <x:c r="I9" s="23" t="str">
        <x:v>Escenarios</x:v>
      </x:c>
      <x:c r="J9" s="23" t="str">
        <x:v>Recomendación condicionada; el cálculo uniforme no demuestra superioridad</x:v>
      </x:c>
    </x:row>
    <x:row r="10" ht="40" customHeight="1">
      <x:c r="A10" s="22" t="str">
        <x:v>Cierre sin red de absorción</x:v>
      </x:c>
      <x:c r="B10" s="22" t="str">
        <x:v>Barreras de acceso y discontinuidad</x:v>
      </x:c>
      <x:c r="C10" s="22" t="str">
        <x:v>Exigir capacidad de absorción y plan asistencial comprobados</x:v>
      </x:c>
      <x:c r="D10" s="23" t="str">
        <x:v>Gerencia / Red de servicios</x:v>
      </x:c>
      <x:c r="E10" s="23" t="str">
        <x:v>Capacidad de absorción demostrada</x:v>
      </x:c>
      <x:c r="F10" s="23" t="str">
        <x:v>Cap. 27, p. 35</x:v>
      </x:c>
      <x:c r="G10" s="23" t="str">
        <x:v>24, 27</x:v>
      </x:c>
      <x:c r="H10" s="23" t="str">
        <x:v>20_Matriz_escenarios; 24_Riesgos</x:v>
      </x:c>
      <x:c r="I10" s="23" t="str">
        <x:v>Escenarios</x:v>
      </x:c>
      <x:c r="J10" s="23" t="str">
        <x:v>Sin decisión ejecutada inferida</x:v>
      </x:c>
    </x:row>
    <x:row r="11" ht="40" customHeight="1">
      <x:c r="A11" s="22" t="str">
        <x:v>Diferencia interna de costo urgencias 2026</x:v>
      </x:c>
      <x:c r="B11" s="22" t="str">
        <x:v>Mezcla de componentes y total sin explicación</x:v>
      </x:c>
      <x:c r="C11" s="22" t="str">
        <x:v>Conservar total oficial y solicitar aclaración de $246.421.769,62</x:v>
      </x:c>
      <x:c r="D11" s="23" t="str">
        <x:v>Oficina de costos</x:v>
      </x:c>
      <x:c r="E11" s="23" t="str">
        <x:v>Diferencia documentada y explicada</x:v>
      </x:c>
      <x:c r="F11" s="23" t="str">
        <x:v>Cap. 21, p. 30; Anexo D, p. 44</x:v>
      </x:c>
      <x:c r="G11" s="23" t="str">
        <x:v>20</x:v>
      </x:c>
      <x:c r="H11" s="23" t="str">
        <x:v>13_Costos_por_centro!L11:N11; A35:Q36</x:v>
      </x:c>
      <x:c r="I11" s="23" t="str">
        <x:v>Costos</x:v>
      </x:c>
      <x:c r="J11" s="23" t="str">
        <x:v>No ajustar componentes sin soporte</x:v>
      </x:c>
    </x:row>
    <x:row r="12" ht="40" customHeight="1">
      <x:c r="A12" s="23" t="str">
        <x:v>Universos de datos incompatibles</x:v>
      </x:c>
      <x:c r="B12" s="23" t="str">
        <x:v>Indicadores y comparaciones engañosas</x:v>
      </x:c>
      <x:c r="C12" s="23" t="str">
        <x:v>Separar reportados por periodo, usuarios RIPS, diagnósticos y registros de producción</x:v>
      </x:c>
      <x:c r="D12" s="23" t="str">
        <x:v>Estadística / Sistemas</x:v>
      </x:c>
      <x:c r="E12" s="23" t="str">
        <x:v>Indicadores con unidad y periodo explícitos</x:v>
      </x:c>
      <x:c r="F12" s="23" t="str">
        <x:v>Caps. 6–10, pp. 13–18; Anexo C, p. 43</x:v>
      </x:c>
      <x:c r="G12" s="23" t="str">
        <x:v>7–10, 17</x:v>
      </x:c>
      <x:c r="H12" s="23" t="str">
        <x:v>05_Control_totales; 07_Pacientes; 10_Sexo_edad; 11_Diagnosticos_episodios</x:v>
      </x:c>
      <x:c r="I12" s="23" t="str">
        <x:v>RIPS / Producción</x:v>
      </x:c>
      <x:c r="J12" s="23" t="str">
        <x:v>DIAGNOSTICO NO VALIDO pendiente de clasificación</x:v>
      </x:c>
    </x:row>
    <x:row r="13" ht="40" customHeight="1">
      <x:c r="A13" s="23" t="str">
        <x:v>Cierre contractual sobredimensionado</x:v>
      </x:c>
      <x:c r="B13" s="23" t="str">
        <x:v>Recibo, liquidación o pago sin acto competente</x:v>
      </x:c>
      <x:c r="C13" s="23" t="str">
        <x:v>Separar entrega técnica de verificación de supervisión y soportes de actos contractuales</x:v>
      </x:c>
      <x:c r="D13" s="23" t="str">
        <x:v>Supervisión del contrato</x:v>
      </x:c>
      <x:c r="E13" s="23" t="str">
        <x:v>Actos de supervisión soportados</x:v>
      </x:c>
      <x:c r="F13" s="23" t="str">
        <x:v>Cap. 1, p. 8; conclusiones, p. 39</x:v>
      </x:c>
      <x:c r="G13" s="23" t="str">
        <x:v>4, 30</x:v>
      </x:c>
      <x:c r="H13" s="23" t="str">
        <x:v>26_Cumplimiento_contrato; presente matriz</x:v>
      </x:c>
      <x:c r="I13" s="23" t="str">
        <x:v>Documentos</x:v>
      </x:c>
      <x:c r="J13" s="23" t="str">
        <x:v>Actualización documental; no aprobación institucional</x:v>
      </x:c>
    </x:row>
    <x:row r="16" ht="26" customHeight="1">
      <x:c r="A16" s="33" t="str">
        <x:v>Las acciones de reparación, reposición, mantenimiento, traslado y baja requieren documentación institucional. La incorporación de la certificación no acredita su ejecución ni modifica automáticamente valor contable, depreciación o CAPEX.</x:v>
      </x:c>
      <x:c r="B16" s="33"/>
      <x:c r="C16" s="33"/>
      <x:c r="D16" s="33"/>
      <x:c r="E16" s="33"/>
      <x:c r="F16" s="33"/>
      <x:c r="G16" s="33"/>
      <x:c r="H16" s="33"/>
      <x:c r="I16" s="33"/>
      <x:c r="J16" s="33"/>
    </x:row>
    <x:row r="17" ht="26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</x:row>
    <x:row r="18" ht="26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</x:row>
  </x:sheetData>
  <x:mergeCells>
    <x:mergeCell ref="A2:H2"/>
    <x:mergeCell ref="A1:H1"/>
    <x:mergeCell ref="A16:J18"/>
  </x:mergeCells>
  <x:pageMargins left="0.7" right="0.7" top="0.75" bottom="0.75" header="0.3" footer="0.3"/>
  <x:tableParts count="1">
    <x:tablePart xmlns:r="http://schemas.openxmlformats.org/officeDocument/2006/relationships" r:id="R76ceaa380c514e32"/>
  </x:tableParts>
</x:worksheet>
</file>